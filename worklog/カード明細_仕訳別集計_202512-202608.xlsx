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明細" sheetId="1" state="visible" r:id="rId3"/>
    <sheet name="科目別集計" sheetId="2" state="visible" r:id="rId4"/>
    <sheet name="月別カード別" sheetId="3" state="visible" r:id="rId5"/>
    <sheet name="定期支出・サブスク" sheetId="4" state="visible" r:id="rId6"/>
    <sheet name="経費削減提案" sheetId="5" state="visible" r:id="rId7"/>
  </sheets>
  <definedNames>
    <definedName function="false" hidden="true" localSheetId="0" name="_xlnm._FilterDatabase" vbProcedure="false">全明細!$A$1:$H$975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<sst xmlns="http://schemas.openxmlformats.org/spreadsheetml/2006/main" count="4488" uniqueCount="559">
  <si>
    <t xml:space="preserve">カード</t>
  </si>
  <si>
    <t xml:space="preserve">明細月</t>
  </si>
  <si>
    <t xml:space="preserve">利用日</t>
  </si>
  <si>
    <t xml:space="preserve">利用月</t>
  </si>
  <si>
    <t xml:space="preserve">利用先</t>
  </si>
  <si>
    <t xml:space="preserve">勘定科目</t>
  </si>
  <si>
    <r>
      <rPr>
        <b val="true"/>
        <sz val="10"/>
        <color rgb="FFFFFFFF"/>
        <rFont val="WenQuanYi Zen Hei"/>
        <family val="2"/>
      </rPr>
      <t xml:space="preserve">金額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</si>
  <si>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備考</t>
  </si>
  <si>
    <t xml:space="preserve">AMEX(Marriott Bonvoy)</t>
  </si>
  <si>
    <t xml:space="preserve">2025-12</t>
  </si>
  <si>
    <r>
      <rPr>
        <sz val="10"/>
        <rFont val="WenQuanYi Zen Hei"/>
        <family val="2"/>
      </rPr>
      <t xml:space="preserve">東邦ガス</t>
    </r>
    <r>
      <rPr>
        <sz val="10"/>
        <rFont val="Arial"/>
        <family val="0"/>
        <charset val="1"/>
      </rPr>
      <t xml:space="preserve">(10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</si>
  <si>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水道光熱費</t>
  </si>
  <si>
    <r>
      <rPr>
        <sz val="10"/>
        <rFont val="Arial"/>
        <family val="0"/>
        <charset val="1"/>
      </rPr>
      <t xml:space="preserve">GO</t>
    </r>
    <r>
      <rPr>
        <sz val="10"/>
        <rFont val="WenQuanYi Zen Hei"/>
        <family val="2"/>
      </rPr>
      <t xml:space="preserve">アプリ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乗車料金</t>
    </r>
    <r>
      <rPr>
        <sz val="10"/>
        <rFont val="Arial"/>
        <family val="0"/>
        <charset val="1"/>
      </rPr>
      <t xml:space="preserve">)</t>
    </r>
  </si>
  <si>
    <t xml:space="preserve">旅費交通費</t>
  </si>
  <si>
    <r>
      <rPr>
        <sz val="10"/>
        <rFont val="WenQuanYi Zen Hei"/>
        <family val="2"/>
      </rPr>
      <t xml:space="preserve">ソフトバンク</t>
    </r>
    <r>
      <rPr>
        <sz val="10"/>
        <rFont val="Arial"/>
        <family val="0"/>
        <charset val="1"/>
      </rPr>
      <t xml:space="preserve">M</t>
    </r>
  </si>
  <si>
    <t xml:space="preserve">通信費</t>
  </si>
  <si>
    <r>
      <rPr>
        <sz val="10"/>
        <rFont val="WenQuanYi Zen Hei"/>
        <family val="2"/>
      </rPr>
      <t xml:space="preserve">ナビパーク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千葉市美浜区</t>
    </r>
    <r>
      <rPr>
        <sz val="10"/>
        <rFont val="Arial"/>
        <family val="0"/>
        <charset val="1"/>
      </rPr>
      <t xml:space="preserve">)</t>
    </r>
  </si>
  <si>
    <t xml:space="preserve">車両費</t>
  </si>
  <si>
    <t xml:space="preserve">駐車場</t>
  </si>
  <si>
    <r>
      <rPr>
        <sz val="10"/>
        <rFont val="Arial"/>
        <family val="0"/>
        <charset val="1"/>
      </rPr>
      <t xml:space="preserve">GMO</t>
    </r>
    <r>
      <rPr>
        <sz val="10"/>
        <rFont val="WenQuanYi Zen Hei"/>
        <family val="2"/>
      </rPr>
      <t xml:space="preserve">とくとく</t>
    </r>
    <r>
      <rPr>
        <sz val="10"/>
        <rFont val="Arial"/>
        <family val="0"/>
        <charset val="1"/>
      </rPr>
      <t xml:space="preserve">BB</t>
    </r>
  </si>
  <si>
    <t xml:space="preserve">ネット回線</t>
  </si>
  <si>
    <t xml:space="preserve">楽天ペイ バルめし山田</t>
  </si>
  <si>
    <t xml:space="preserve">飲食費</t>
  </si>
  <si>
    <r>
      <rPr>
        <sz val="10"/>
        <rFont val="Arial"/>
        <family val="0"/>
        <charset val="1"/>
      </rPr>
      <t xml:space="preserve">ETC </t>
    </r>
    <r>
      <rPr>
        <sz val="10"/>
        <rFont val="WenQuanYi Zen Hei"/>
        <family val="2"/>
      </rPr>
      <t xml:space="preserve">東日本高速</t>
    </r>
  </si>
  <si>
    <r>
      <rPr>
        <sz val="10"/>
        <rFont val="Arial"/>
        <family val="0"/>
        <charset val="1"/>
      </rPr>
      <t xml:space="preserve">ETC </t>
    </r>
    <r>
      <rPr>
        <sz val="10"/>
        <rFont val="WenQuanYi Zen Hei"/>
        <family val="2"/>
      </rPr>
      <t xml:space="preserve">首都高</t>
    </r>
  </si>
  <si>
    <t xml:space="preserve">丸善 有明ガーデン店</t>
  </si>
  <si>
    <t xml:space="preserve">新聞図書費</t>
  </si>
  <si>
    <r>
      <rPr>
        <sz val="10"/>
        <rFont val="WenQuanYi Zen Hei"/>
        <family val="2"/>
      </rPr>
      <t xml:space="preserve">住友不動産</t>
    </r>
    <r>
      <rPr>
        <sz val="10"/>
        <rFont val="Arial"/>
        <family val="0"/>
        <charset val="1"/>
      </rPr>
      <t xml:space="preserve">SC</t>
    </r>
    <r>
      <rPr>
        <sz val="10"/>
        <rFont val="WenQuanYi Zen Hei"/>
        <family val="2"/>
      </rPr>
      <t xml:space="preserve">有明ガーデン</t>
    </r>
  </si>
  <si>
    <t xml:space="preserve">雑費・その他</t>
  </si>
  <si>
    <t xml:space="preserve">ENEOS</t>
  </si>
  <si>
    <t xml:space="preserve">ガソリン</t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</si>
  <si>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(10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</si>
  <si>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ナビパーク</t>
  </si>
  <si>
    <r>
      <rPr>
        <sz val="10"/>
        <rFont val="WenQuanYi Zen Hei"/>
        <family val="2"/>
      </rPr>
      <t xml:space="preserve">タイムズ東尾久第</t>
    </r>
    <r>
      <rPr>
        <sz val="10"/>
        <rFont val="Arial"/>
        <family val="0"/>
        <charset val="1"/>
      </rPr>
      <t xml:space="preserve">19</t>
    </r>
  </si>
  <si>
    <t xml:space="preserve">Apple iTunes Store</t>
  </si>
  <si>
    <t xml:space="preserve">サブスク・ソフトウェア</t>
  </si>
  <si>
    <t xml:space="preserve">アマゾン</t>
  </si>
  <si>
    <t xml:space="preserve">消耗品費・備品</t>
  </si>
  <si>
    <r>
      <rPr>
        <sz val="10"/>
        <rFont val="WenQuanYi Zen Hei"/>
        <family val="2"/>
      </rPr>
      <t xml:space="preserve">鷹丸鮮魚店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号店</t>
    </r>
  </si>
  <si>
    <t xml:space="preserve">アップルストア新宿</t>
  </si>
  <si>
    <r>
      <rPr>
        <sz val="10"/>
        <rFont val="Arial"/>
        <family val="0"/>
        <charset val="1"/>
      </rPr>
      <t xml:space="preserve">Apple</t>
    </r>
    <r>
      <rPr>
        <sz val="10"/>
        <rFont val="WenQuanYi Zen Hei"/>
        <family val="2"/>
      </rPr>
      <t xml:space="preserve">製品</t>
    </r>
  </si>
  <si>
    <t xml:space="preserve">タリーズコーヒー新宿</t>
  </si>
  <si>
    <t xml:space="preserve">カフェ</t>
  </si>
  <si>
    <r>
      <rPr>
        <sz val="10"/>
        <rFont val="WenQuanYi Zen Hei"/>
        <family val="2"/>
      </rPr>
      <t xml:space="preserve">ヒモノ照ラス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名古屋</t>
    </r>
    <r>
      <rPr>
        <sz val="10"/>
        <rFont val="Arial"/>
        <family val="0"/>
        <charset val="1"/>
      </rPr>
      <t xml:space="preserve">)</t>
    </r>
  </si>
  <si>
    <t xml:space="preserve">GOOGLE ONE</t>
  </si>
  <si>
    <t xml:space="preserve">名古屋駅店舗</t>
  </si>
  <si>
    <t xml:space="preserve">エクスプレス予約</t>
  </si>
  <si>
    <t xml:space="preserve">新幹線</t>
  </si>
  <si>
    <r>
      <rPr>
        <sz val="10"/>
        <rFont val="WenQuanYi Zen Hei"/>
        <family val="2"/>
      </rPr>
      <t xml:space="preserve">ゲートタワー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名古屋</t>
    </r>
    <r>
      <rPr>
        <sz val="10"/>
        <rFont val="Arial"/>
        <family val="0"/>
        <charset val="1"/>
      </rPr>
      <t xml:space="preserve">)</t>
    </r>
  </si>
  <si>
    <t xml:space="preserve">ビックロ ビックカメラ新宿東口</t>
  </si>
  <si>
    <t xml:space="preserve">DAILY COFFEE STAND</t>
  </si>
  <si>
    <r>
      <rPr>
        <sz val="10"/>
        <rFont val="Arial"/>
        <family val="0"/>
        <charset val="1"/>
      </rPr>
      <t xml:space="preserve">eggslut </t>
    </r>
    <r>
      <rPr>
        <sz val="10"/>
        <rFont val="WenQuanYi Zen Hei"/>
        <family val="2"/>
      </rPr>
      <t xml:space="preserve">新宿サザンテラス</t>
    </r>
  </si>
  <si>
    <t xml:space="preserve">YouTube Premium</t>
  </si>
  <si>
    <t xml:space="preserve">McAfee</t>
  </si>
  <si>
    <t xml:space="preserve">セキュリティ年額</t>
  </si>
  <si>
    <t xml:space="preserve">アマゾンサービシーズ</t>
  </si>
  <si>
    <t xml:space="preserve">スターバックス</t>
  </si>
  <si>
    <t xml:space="preserve">PAYPAL *ADVANCE STD(ACCOUNTING)</t>
  </si>
  <si>
    <t xml:space="preserve">外注費</t>
  </si>
  <si>
    <t xml:space="preserve">経理代行</t>
  </si>
  <si>
    <t xml:space="preserve">無印良品</t>
  </si>
  <si>
    <r>
      <rPr>
        <sz val="10"/>
        <rFont val="WenQuanYi Zen Hei"/>
        <family val="2"/>
      </rPr>
      <t xml:space="preserve">システム利用料</t>
    </r>
    <r>
      <rPr>
        <sz val="10"/>
        <rFont val="Arial"/>
        <family val="0"/>
        <charset val="1"/>
      </rPr>
      <t xml:space="preserve">(eLTAX)</t>
    </r>
  </si>
  <si>
    <t xml:space="preserve">租税公課</t>
  </si>
  <si>
    <t xml:space="preserve">カード納付手数料</t>
  </si>
  <si>
    <r>
      <rPr>
        <sz val="10"/>
        <rFont val="WenQuanYi Zen Hei"/>
        <family val="2"/>
      </rPr>
      <t xml:space="preserve">地方税共同機構</t>
    </r>
    <r>
      <rPr>
        <sz val="10"/>
        <rFont val="Arial"/>
        <family val="0"/>
        <charset val="1"/>
      </rPr>
      <t xml:space="preserve">(eLTAX)</t>
    </r>
  </si>
  <si>
    <t xml:space="preserve">住民税等</t>
  </si>
  <si>
    <t xml:space="preserve">源泉所得税及復興特別所得税</t>
  </si>
  <si>
    <r>
      <rPr>
        <sz val="10"/>
        <rFont val="WenQuanYi Zen Hei"/>
        <family val="2"/>
      </rPr>
      <t xml:space="preserve">楽天ペイ </t>
    </r>
    <r>
      <rPr>
        <sz val="10"/>
        <rFont val="Arial"/>
        <family val="0"/>
        <charset val="1"/>
      </rPr>
      <t xml:space="preserve">Respia</t>
    </r>
  </si>
  <si>
    <t xml:space="preserve">美容</t>
  </si>
  <si>
    <r>
      <rPr>
        <sz val="10"/>
        <rFont val="WenQuanYi Zen Hei"/>
        <family val="2"/>
      </rPr>
      <t xml:space="preserve">美容院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エステ</t>
    </r>
  </si>
  <si>
    <r>
      <rPr>
        <sz val="10"/>
        <rFont val="WenQuanYi Zen Hei"/>
        <family val="2"/>
      </rPr>
      <t xml:space="preserve">野方餃子</t>
    </r>
    <r>
      <rPr>
        <sz val="10"/>
        <rFont val="Arial"/>
        <family val="0"/>
        <charset val="1"/>
      </rPr>
      <t xml:space="preserve">/Air</t>
    </r>
  </si>
  <si>
    <r>
      <rPr>
        <sz val="10"/>
        <rFont val="WenQuanYi Zen Hei"/>
        <family val="2"/>
      </rPr>
      <t xml:space="preserve">リブクオリティハブ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名古屋</t>
    </r>
    <r>
      <rPr>
        <sz val="10"/>
        <rFont val="Arial"/>
        <family val="0"/>
        <charset val="1"/>
      </rPr>
      <t xml:space="preserve">)</t>
    </r>
  </si>
  <si>
    <t xml:space="preserve">購読料</t>
  </si>
  <si>
    <t xml:space="preserve">つばめ交通</t>
  </si>
  <si>
    <t xml:space="preserve">タクシー</t>
  </si>
  <si>
    <t xml:space="preserve">名古屋マリオットアソシアホテル</t>
  </si>
  <si>
    <t xml:space="preserve">宿泊</t>
  </si>
  <si>
    <r>
      <rPr>
        <sz val="10"/>
        <rFont val="WenQuanYi Zen Hei"/>
        <family val="2"/>
      </rPr>
      <t xml:space="preserve">大木</t>
    </r>
    <r>
      <rPr>
        <sz val="10"/>
        <rFont val="Arial"/>
        <family val="0"/>
        <charset val="1"/>
      </rPr>
      <t xml:space="preserve">TAXI</t>
    </r>
  </si>
  <si>
    <t xml:space="preserve">アフターコールナビ</t>
  </si>
  <si>
    <t xml:space="preserve">電話代行</t>
  </si>
  <si>
    <t xml:space="preserve">木曽路 環七小竹町店</t>
  </si>
  <si>
    <t xml:space="preserve">アドビ</t>
  </si>
  <si>
    <t xml:space="preserve">03Plus</t>
  </si>
  <si>
    <t xml:space="preserve">クラウド電話</t>
  </si>
  <si>
    <t xml:space="preserve">タイムズ昭和医科大学歯科病院</t>
  </si>
  <si>
    <t xml:space="preserve">すし銚子丸 豊玉南店</t>
  </si>
  <si>
    <t xml:space="preserve">バランス大家サロン</t>
  </si>
  <si>
    <t xml:space="preserve">諸会費・コミュニティ</t>
  </si>
  <si>
    <t xml:space="preserve">月額サロン</t>
  </si>
  <si>
    <t xml:space="preserve">MD(MDISM) SERVICE</t>
  </si>
  <si>
    <t xml:space="preserve">内容要確認</t>
  </si>
  <si>
    <r>
      <rPr>
        <sz val="10"/>
        <rFont val="WenQuanYi Zen Hei"/>
        <family val="2"/>
      </rPr>
      <t xml:space="preserve">アマゾン</t>
    </r>
    <r>
      <rPr>
        <sz val="10"/>
        <rFont val="Arial"/>
        <family val="0"/>
        <charset val="1"/>
      </rPr>
      <t xml:space="preserve">JP</t>
    </r>
    <r>
      <rPr>
        <sz val="10"/>
        <rFont val="WenQuanYi Zen Hei"/>
        <family val="2"/>
      </rPr>
      <t xml:space="preserve">マーケットプレイス</t>
    </r>
  </si>
  <si>
    <t xml:space="preserve">2026-01</t>
  </si>
  <si>
    <r>
      <rPr>
        <sz val="10"/>
        <rFont val="WenQuanYi Zen Hei"/>
        <family val="2"/>
      </rPr>
      <t xml:space="preserve">東邦ガス</t>
    </r>
    <r>
      <rPr>
        <sz val="10"/>
        <rFont val="Arial"/>
        <family val="0"/>
        <charset val="1"/>
      </rPr>
      <t xml:space="preserve">(11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</si>
  <si>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セリック不動産投資道</t>
  </si>
  <si>
    <t xml:space="preserve">月額</t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</si>
  <si>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(11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</si>
  <si>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新星自動車</t>
  </si>
  <si>
    <t xml:space="preserve">ダイソー</t>
  </si>
  <si>
    <t xml:space="preserve">日個連東京都営業協同組合</t>
  </si>
  <si>
    <t xml:space="preserve">元氣七輪焼肉 牛繁 野方店</t>
  </si>
  <si>
    <t xml:space="preserve">デニーズ</t>
  </si>
  <si>
    <t xml:space="preserve">ビックカメラ新宿西口店</t>
  </si>
  <si>
    <t xml:space="preserve">家電・備品</t>
  </si>
  <si>
    <t xml:space="preserve">コスモフーズ飲料自販機</t>
  </si>
  <si>
    <t xml:space="preserve">食料品・コンビニ</t>
  </si>
  <si>
    <t xml:space="preserve">TEMU</t>
  </si>
  <si>
    <t xml:space="preserve">ニトリ</t>
  </si>
  <si>
    <r>
      <rPr>
        <sz val="10"/>
        <rFont val="WenQuanYi Zen Hei"/>
        <family val="2"/>
      </rPr>
      <t xml:space="preserve">ダイソー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東広島</t>
    </r>
    <r>
      <rPr>
        <sz val="10"/>
        <rFont val="Arial"/>
        <family val="0"/>
        <charset val="1"/>
      </rPr>
      <t xml:space="preserve">)</t>
    </r>
  </si>
  <si>
    <t xml:space="preserve">平和堂 穂積店</t>
  </si>
  <si>
    <t xml:space="preserve">サガミ 味美店</t>
  </si>
  <si>
    <t xml:space="preserve">ココナラ</t>
  </si>
  <si>
    <t xml:space="preserve">むさしの森珈琲</t>
  </si>
  <si>
    <t xml:space="preserve">東洋交通</t>
  </si>
  <si>
    <t xml:space="preserve">MLT 0570666020</t>
  </si>
  <si>
    <r>
      <rPr>
        <sz val="10"/>
        <rFont val="WenQuanYi Zen Hei"/>
        <family val="2"/>
      </rPr>
      <t xml:space="preserve">毎月</t>
    </r>
    <r>
      <rPr>
        <sz val="10"/>
        <rFont val="Arial"/>
        <family val="0"/>
        <charset val="1"/>
      </rPr>
      <t xml:space="preserve">55,000</t>
    </r>
    <r>
      <rPr>
        <sz val="10"/>
        <rFont val="WenQuanYi Zen Hei"/>
        <family val="2"/>
      </rPr>
      <t xml:space="preserve">円・内容要確認</t>
    </r>
  </si>
  <si>
    <r>
      <rPr>
        <sz val="10"/>
        <rFont val="WenQuanYi Zen Hei"/>
        <family val="2"/>
      </rPr>
      <t xml:space="preserve">タイムズ天沼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丁目第</t>
    </r>
    <r>
      <rPr>
        <sz val="10"/>
        <rFont val="Arial"/>
        <family val="0"/>
        <charset val="1"/>
      </rPr>
      <t xml:space="preserve">2</t>
    </r>
  </si>
  <si>
    <t xml:space="preserve">游玄亭 新宿店</t>
  </si>
  <si>
    <t xml:space="preserve">焼肉・接待</t>
  </si>
  <si>
    <t xml:space="preserve">磯丸水産 池袋</t>
  </si>
  <si>
    <r>
      <rPr>
        <sz val="10"/>
        <rFont val="WenQuanYi Zen Hei"/>
        <family val="2"/>
      </rPr>
      <t xml:space="preserve">三幸タクシー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名古屋</t>
    </r>
    <r>
      <rPr>
        <sz val="10"/>
        <rFont val="Arial"/>
        <family val="0"/>
        <charset val="1"/>
      </rPr>
      <t xml:space="preserve">)</t>
    </r>
  </si>
  <si>
    <t xml:space="preserve">島忠ホームセンター 中野店</t>
  </si>
  <si>
    <t xml:space="preserve">三井のリパーク東京ドーム</t>
  </si>
  <si>
    <t xml:space="preserve">セブンイレブン</t>
  </si>
  <si>
    <t xml:space="preserve">2026-02</t>
  </si>
  <si>
    <t xml:space="preserve">イデミツ アポロステーション</t>
  </si>
  <si>
    <t xml:space="preserve">未来屋書店 北戸田</t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</si>
  <si>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(12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</si>
  <si>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えごたいえ</t>
  </si>
  <si>
    <t xml:space="preserve">ファミリーマート 中野江古田の杜</t>
  </si>
  <si>
    <t xml:space="preserve">エクスプレス予約 年会費</t>
  </si>
  <si>
    <r>
      <rPr>
        <sz val="10"/>
        <rFont val="WenQuanYi Zen Hei"/>
        <family val="2"/>
      </rPr>
      <t xml:space="preserve">水回り専門店</t>
    </r>
    <r>
      <rPr>
        <sz val="10"/>
        <rFont val="Arial"/>
        <family val="0"/>
        <charset val="1"/>
      </rPr>
      <t xml:space="preserve">mizumawarishop</t>
    </r>
  </si>
  <si>
    <t xml:space="preserve">修繕関連</t>
  </si>
  <si>
    <t xml:space="preserve">[BtoB]03Plus</t>
  </si>
  <si>
    <r>
      <rPr>
        <sz val="10"/>
        <rFont val="Arial"/>
        <family val="0"/>
        <charset val="1"/>
      </rPr>
      <t xml:space="preserve">IKEA</t>
    </r>
    <r>
      <rPr>
        <sz val="10"/>
        <rFont val="WenQuanYi Zen Hei"/>
        <family val="2"/>
      </rPr>
      <t xml:space="preserve">オンライン</t>
    </r>
  </si>
  <si>
    <t xml:space="preserve">SP MOHEIM STORE</t>
  </si>
  <si>
    <r>
      <rPr>
        <sz val="10"/>
        <rFont val="Arial"/>
        <family val="0"/>
        <charset val="1"/>
      </rPr>
      <t xml:space="preserve">HEARTLIFE </t>
    </r>
    <r>
      <rPr>
        <sz val="10"/>
        <rFont val="WenQuanYi Zen Hei"/>
        <family val="2"/>
      </rPr>
      <t xml:space="preserve">こころの悩み相談所</t>
    </r>
  </si>
  <si>
    <t xml:space="preserve">医療・健康</t>
  </si>
  <si>
    <t xml:space="preserve">カウンセリング</t>
  </si>
  <si>
    <t xml:space="preserve">IKAKOWORKS</t>
  </si>
  <si>
    <t xml:space="preserve">2026-03</t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</si>
  <si>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</si>
  <si>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高額・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等備品</t>
    </r>
  </si>
  <si>
    <t xml:space="preserve">CALIFORNIA PRINT COL</t>
  </si>
  <si>
    <t xml:space="preserve">印刷</t>
  </si>
  <si>
    <t xml:space="preserve">東京ガス</t>
  </si>
  <si>
    <t xml:space="preserve">ウィングキッチン京急蒲田</t>
  </si>
  <si>
    <t xml:space="preserve">iHerb</t>
  </si>
  <si>
    <t xml:space="preserve">サプリ</t>
  </si>
  <si>
    <t xml:space="preserve">タイムズホテルルートイン東京蒲田</t>
  </si>
  <si>
    <t xml:space="preserve">EL COMMUN online shop</t>
  </si>
  <si>
    <t xml:space="preserve">ホテルメトロポリタン</t>
  </si>
  <si>
    <t xml:space="preserve">や台ずし 都立家政南口町</t>
  </si>
  <si>
    <t xml:space="preserve">すためし池袋東口駅前店</t>
  </si>
  <si>
    <t xml:space="preserve">ファミリーマート 羽沢三丁目</t>
  </si>
  <si>
    <t xml:space="preserve">三井のリパーク江古田氷川神社</t>
  </si>
  <si>
    <t xml:space="preserve">はなどんやアソシエ</t>
  </si>
  <si>
    <t xml:space="preserve">花材</t>
  </si>
  <si>
    <t xml:space="preserve">芳林堂書店高田馬場店</t>
  </si>
  <si>
    <t xml:space="preserve">串カツ田中 中野早稲田通り店</t>
  </si>
  <si>
    <t xml:space="preserve">手しおごはん玄 中野坂上店</t>
  </si>
  <si>
    <t xml:space="preserve">2026-04</t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</si>
  <si>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(2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</si>
  <si>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メゾンプラス 楽天市場店</t>
  </si>
  <si>
    <r>
      <rPr>
        <sz val="10"/>
        <rFont val="Arial"/>
        <family val="0"/>
        <charset val="1"/>
      </rPr>
      <t xml:space="preserve">L.B.B.Cloud</t>
    </r>
    <r>
      <rPr>
        <sz val="10"/>
        <rFont val="WenQuanYi Zen Hei"/>
        <family val="2"/>
      </rPr>
      <t xml:space="preserve">モバイルオーダー</t>
    </r>
  </si>
  <si>
    <r>
      <rPr>
        <sz val="10"/>
        <rFont val="Arial"/>
        <family val="0"/>
        <charset val="1"/>
      </rPr>
      <t xml:space="preserve">MONTHLY GO(</t>
    </r>
    <r>
      <rPr>
        <sz val="10"/>
        <rFont val="WenQuanYi Zen Hei"/>
        <family val="2"/>
      </rPr>
      <t xml:space="preserve">レンタカー月額</t>
    </r>
    <r>
      <rPr>
        <sz val="10"/>
        <rFont val="Arial"/>
        <family val="0"/>
        <charset val="1"/>
      </rPr>
      <t xml:space="preserve">)</t>
    </r>
  </si>
  <si>
    <t xml:space="preserve">月額カーレンタル</t>
  </si>
  <si>
    <t xml:space="preserve">申告所得税及復興特別所得税</t>
  </si>
  <si>
    <t xml:space="preserve">確定申告分</t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</si>
  <si>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</si>
  <si>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2026-05</t>
  </si>
  <si>
    <t xml:space="preserve">ストリングスホテル東京</t>
  </si>
  <si>
    <t xml:space="preserve">PEATIX TICKET</t>
  </si>
  <si>
    <t xml:space="preserve">研修・セミナー</t>
  </si>
  <si>
    <r>
      <rPr>
        <sz val="10"/>
        <rFont val="WenQuanYi Zen Hei"/>
        <family val="2"/>
      </rPr>
      <t xml:space="preserve">イベント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セミナー</t>
    </r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</si>
  <si>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</si>
  <si>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PHANTACY BY COZY(</t>
    </r>
    <r>
      <rPr>
        <sz val="10"/>
        <rFont val="WenQuanYi Zen Hei"/>
        <family val="2"/>
      </rPr>
      <t xml:space="preserve">台北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</si>
  <si>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海外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台湾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</si>
  <si>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THE ESLITE SPECTRUM(</t>
    </r>
    <r>
      <rPr>
        <sz val="10"/>
        <rFont val="WenQuanYi Zen Hei"/>
        <family val="2"/>
      </rPr>
      <t xml:space="preserve">台北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</si>
  <si>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7-ELEVEN(</t>
    </r>
    <r>
      <rPr>
        <sz val="10"/>
        <rFont val="WenQuanYi Zen Hei"/>
        <family val="2"/>
      </rPr>
      <t xml:space="preserve">台北</t>
    </r>
    <r>
      <rPr>
        <sz val="10"/>
        <rFont val="Arial"/>
        <family val="0"/>
        <charset val="1"/>
      </rPr>
      <t xml:space="preserve">)</t>
    </r>
  </si>
  <si>
    <t xml:space="preserve">真希 中野北口店</t>
  </si>
  <si>
    <t xml:space="preserve">PAYPAL *NKOFFICELLC(CONSULTING)</t>
  </si>
  <si>
    <t xml:space="preserve">コンサル</t>
  </si>
  <si>
    <r>
      <rPr>
        <sz val="10"/>
        <rFont val="WenQuanYi Zen Hei"/>
        <family val="2"/>
      </rPr>
      <t xml:space="preserve">吏佐家</t>
    </r>
    <r>
      <rPr>
        <sz val="10"/>
        <rFont val="Arial"/>
        <family val="0"/>
        <charset val="1"/>
      </rPr>
      <t xml:space="preserve">/Air</t>
    </r>
  </si>
  <si>
    <t xml:space="preserve">高額会食</t>
  </si>
  <si>
    <t xml:space="preserve">2026-06</t>
  </si>
  <si>
    <t xml:space="preserve">大和グループ</t>
  </si>
  <si>
    <t xml:space="preserve">タイムズ新砂運動場</t>
  </si>
  <si>
    <t xml:space="preserve">新宿うな鉄</t>
  </si>
  <si>
    <r>
      <rPr>
        <sz val="10"/>
        <rFont val="WenQuanYi Zen Hei"/>
        <family val="2"/>
      </rPr>
      <t xml:space="preserve">麦酒酒場 </t>
    </r>
    <r>
      <rPr>
        <sz val="10"/>
        <rFont val="Arial"/>
        <family val="0"/>
        <charset val="1"/>
      </rPr>
      <t xml:space="preserve">NAKANAKA</t>
    </r>
  </si>
  <si>
    <t xml:space="preserve">グッドモーニングカフェ中野</t>
  </si>
  <si>
    <t xml:space="preserve">スシロー 吹田</t>
  </si>
  <si>
    <r>
      <rPr>
        <sz val="10"/>
        <rFont val="WenQuanYi Zen Hei"/>
        <family val="2"/>
      </rPr>
      <t xml:space="preserve">医療法人社団</t>
    </r>
    <r>
      <rPr>
        <sz val="10"/>
        <rFont val="Arial"/>
        <family val="0"/>
        <charset val="1"/>
      </rPr>
      <t xml:space="preserve">DMH</t>
    </r>
  </si>
  <si>
    <t xml:space="preserve">医療</t>
  </si>
  <si>
    <r>
      <rPr>
        <sz val="10"/>
        <rFont val="Arial"/>
        <family val="0"/>
        <charset val="1"/>
      </rPr>
      <t xml:space="preserve">ETC </t>
    </r>
    <r>
      <rPr>
        <sz val="10"/>
        <rFont val="WenQuanYi Zen Hei"/>
        <family val="2"/>
      </rPr>
      <t xml:space="preserve">関越道</t>
    </r>
  </si>
  <si>
    <t xml:space="preserve">喫茶室ルノアール 中野北口店</t>
  </si>
  <si>
    <t xml:space="preserve">椿屋珈琲店新宿茶寮</t>
  </si>
  <si>
    <t xml:space="preserve">マルエツ 新江古田駅前</t>
  </si>
  <si>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東日本</t>
    </r>
  </si>
  <si>
    <r>
      <rPr>
        <sz val="10"/>
        <rFont val="WenQuanYi Zen Hei"/>
        <family val="2"/>
      </rPr>
      <t xml:space="preserve">ホテル</t>
    </r>
    <r>
      <rPr>
        <sz val="10"/>
        <rFont val="Arial"/>
        <family val="0"/>
        <charset val="1"/>
      </rPr>
      <t xml:space="preserve">JAL</t>
    </r>
    <r>
      <rPr>
        <sz val="10"/>
        <rFont val="WenQuanYi Zen Hei"/>
        <family val="2"/>
      </rPr>
      <t xml:space="preserve">シティ長野</t>
    </r>
  </si>
  <si>
    <t xml:space="preserve">ローソン長野県庁前</t>
  </si>
  <si>
    <t xml:space="preserve">田口タクシー</t>
  </si>
  <si>
    <t xml:space="preserve">長野観光自動車</t>
  </si>
  <si>
    <r>
      <rPr>
        <sz val="10"/>
        <rFont val="Arial"/>
        <family val="0"/>
        <charset val="1"/>
      </rPr>
      <t xml:space="preserve">JSR</t>
    </r>
    <r>
      <rPr>
        <sz val="10"/>
        <rFont val="WenQuanYi Zen Hei"/>
        <family val="2"/>
      </rPr>
      <t xml:space="preserve">八重洲地下街</t>
    </r>
  </si>
  <si>
    <t xml:space="preserve">衣料</t>
  </si>
  <si>
    <r>
      <rPr>
        <sz val="10"/>
        <rFont val="Arial"/>
        <family val="0"/>
        <charset val="1"/>
      </rPr>
      <t xml:space="preserve">BOOKING.COM(</t>
    </r>
    <r>
      <rPr>
        <sz val="10"/>
        <rFont val="WenQuanYi Zen Hei"/>
        <family val="2"/>
      </rPr>
      <t xml:space="preserve">航空券 成田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</si>
  <si>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t xml:space="preserve">海外渡航</t>
  </si>
  <si>
    <t xml:space="preserve">クラウドワークス</t>
  </si>
  <si>
    <t xml:space="preserve">築地銀だこ サンモール中野店</t>
  </si>
  <si>
    <t xml:space="preserve">HOTEL ON BOOKING.COM</t>
  </si>
  <si>
    <r>
      <rPr>
        <sz val="10"/>
        <rFont val="Arial"/>
        <family val="0"/>
        <charset val="1"/>
      </rPr>
      <t xml:space="preserve">MARINA BAY SANDS(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</si>
  <si>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t xml:space="preserve">海外</t>
  </si>
  <si>
    <t xml:space="preserve">星乃珈琲店 名駅椿店</t>
  </si>
  <si>
    <t xml:space="preserve">ドン・キホーテ 中野駅前店</t>
  </si>
  <si>
    <r>
      <rPr>
        <sz val="10"/>
        <rFont val="Arial"/>
        <family val="0"/>
        <charset val="1"/>
      </rPr>
      <t xml:space="preserve">BINGE CAFE(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</si>
  <si>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TWENTY EIGHT CAFE(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</si>
  <si>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t xml:space="preserve">リムジンバス羽田空港</t>
  </si>
  <si>
    <r>
      <rPr>
        <sz val="10"/>
        <rFont val="Arial"/>
        <family val="0"/>
        <charset val="1"/>
      </rPr>
      <t xml:space="preserve">NPC24H</t>
    </r>
    <r>
      <rPr>
        <sz val="10"/>
        <rFont val="WenQuanYi Zen Hei"/>
        <family val="2"/>
      </rPr>
      <t xml:space="preserve">神楽坂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丁目第</t>
    </r>
    <r>
      <rPr>
        <sz val="10"/>
        <rFont val="Arial"/>
        <family val="0"/>
        <charset val="1"/>
      </rPr>
      <t xml:space="preserve">2</t>
    </r>
  </si>
  <si>
    <t xml:space="preserve">イイトルミネ新宿店</t>
  </si>
  <si>
    <t xml:space="preserve">コジマ</t>
  </si>
  <si>
    <t xml:space="preserve">2026-07</t>
  </si>
  <si>
    <r>
      <rPr>
        <sz val="10"/>
        <rFont val="Arial"/>
        <family val="0"/>
        <charset val="1"/>
      </rPr>
      <t xml:space="preserve">ETC </t>
    </r>
    <r>
      <rPr>
        <sz val="10"/>
        <rFont val="WenQuanYi Zen Hei"/>
        <family val="2"/>
      </rPr>
      <t xml:space="preserve">中日本高速</t>
    </r>
  </si>
  <si>
    <r>
      <rPr>
        <sz val="10"/>
        <rFont val="WenQuanYi Zen Hei"/>
        <family val="2"/>
      </rPr>
      <t xml:space="preserve">御殿山 あいにく</t>
    </r>
    <r>
      <rPr>
        <sz val="10"/>
        <rFont val="Arial"/>
        <family val="0"/>
        <charset val="1"/>
      </rPr>
      <t xml:space="preserve">/Air</t>
    </r>
  </si>
  <si>
    <t xml:space="preserve">東武ホープセンター</t>
  </si>
  <si>
    <t xml:space="preserve">楽待プレミアム</t>
  </si>
  <si>
    <t xml:space="preserve">不動産情報</t>
  </si>
  <si>
    <t xml:space="preserve">春田屋 江古田店</t>
  </si>
  <si>
    <r>
      <rPr>
        <sz val="10"/>
        <rFont val="WenQuanYi Zen Hei"/>
        <family val="2"/>
      </rPr>
      <t xml:space="preserve">ナビパーク萩中第</t>
    </r>
    <r>
      <rPr>
        <sz val="10"/>
        <rFont val="Arial"/>
        <family val="0"/>
        <charset val="1"/>
      </rPr>
      <t xml:space="preserve">3</t>
    </r>
  </si>
  <si>
    <t xml:space="preserve">豊島園 庭の湯</t>
  </si>
  <si>
    <t xml:space="preserve">温浴</t>
  </si>
  <si>
    <t xml:space="preserve">ユニバーサルドラッグ荻窪店</t>
  </si>
  <si>
    <t xml:space="preserve">薬局</t>
  </si>
  <si>
    <t xml:space="preserve">KIWI.COM</t>
  </si>
  <si>
    <t xml:space="preserve">航空券</t>
  </si>
  <si>
    <r>
      <rPr>
        <sz val="10"/>
        <rFont val="Arial"/>
        <family val="0"/>
        <charset val="1"/>
      </rPr>
      <t xml:space="preserve">HIS</t>
    </r>
    <r>
      <rPr>
        <sz val="10"/>
        <rFont val="WenQuanYi Zen Hei"/>
        <family val="2"/>
      </rPr>
      <t xml:space="preserve">オンライン予約センター</t>
    </r>
  </si>
  <si>
    <t xml:space="preserve">旅行手配</t>
  </si>
  <si>
    <t xml:space="preserve">MEANDER OSAKA</t>
  </si>
  <si>
    <t xml:space="preserve">宿泊関連</t>
  </si>
  <si>
    <t xml:space="preserve">城西タクシー</t>
  </si>
  <si>
    <r>
      <rPr>
        <sz val="10"/>
        <rFont val="Arial"/>
        <family val="0"/>
        <charset val="1"/>
      </rPr>
      <t xml:space="preserve">GO</t>
    </r>
    <r>
      <rPr>
        <sz val="10"/>
        <rFont val="WenQuanYi Zen Hei"/>
        <family val="2"/>
      </rPr>
      <t xml:space="preserve">アプリ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プレミアム</t>
    </r>
    <r>
      <rPr>
        <sz val="10"/>
        <rFont val="Arial"/>
        <family val="0"/>
        <charset val="1"/>
      </rPr>
      <t xml:space="preserve">)</t>
    </r>
  </si>
  <si>
    <t xml:space="preserve">TURKISH AIRLINES</t>
  </si>
  <si>
    <r>
      <rPr>
        <sz val="10"/>
        <rFont val="WenQuanYi Zen Hei"/>
        <family val="2"/>
      </rPr>
      <t xml:space="preserve">アマゾン</t>
    </r>
    <r>
      <rPr>
        <sz val="10"/>
        <rFont val="Arial"/>
        <family val="0"/>
        <charset val="1"/>
      </rPr>
      <t xml:space="preserve">JP</t>
    </r>
    <r>
      <rPr>
        <sz val="10"/>
        <rFont val="WenQuanYi Zen Hei"/>
        <family val="2"/>
      </rPr>
      <t xml:space="preserve">マーケットプレイス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返金</t>
    </r>
    <r>
      <rPr>
        <sz val="10"/>
        <rFont val="Arial"/>
        <family val="0"/>
        <charset val="1"/>
      </rPr>
      <t xml:space="preserve">)</t>
    </r>
  </si>
  <si>
    <t xml:space="preserve">返金</t>
  </si>
  <si>
    <r>
      <rPr>
        <sz val="10"/>
        <rFont val="Arial"/>
        <family val="0"/>
        <charset val="1"/>
      </rPr>
      <t xml:space="preserve">HIS</t>
    </r>
    <r>
      <rPr>
        <sz val="10"/>
        <rFont val="WenQuanYi Zen Hei"/>
        <family val="2"/>
      </rPr>
      <t xml:space="preserve">オンライン予約センター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返金</t>
    </r>
    <r>
      <rPr>
        <sz val="10"/>
        <rFont val="Arial"/>
        <family val="0"/>
        <charset val="1"/>
      </rPr>
      <t xml:space="preserve">)</t>
    </r>
  </si>
  <si>
    <t xml:space="preserve">2026-08</t>
  </si>
  <si>
    <r>
      <rPr>
        <sz val="10"/>
        <rFont val="Arial"/>
        <family val="0"/>
        <charset val="1"/>
      </rPr>
      <t xml:space="preserve">ETC </t>
    </r>
    <r>
      <rPr>
        <sz val="10"/>
        <rFont val="WenQuanYi Zen Hei"/>
        <family val="2"/>
      </rPr>
      <t xml:space="preserve">特別割引 関東</t>
    </r>
  </si>
  <si>
    <r>
      <rPr>
        <sz val="10"/>
        <rFont val="WenQuanYi Zen Hei"/>
        <family val="2"/>
      </rPr>
      <t xml:space="preserve">アティックルーム中野</t>
    </r>
    <r>
      <rPr>
        <sz val="10"/>
        <rFont val="Arial"/>
        <family val="0"/>
        <charset val="1"/>
      </rPr>
      <t xml:space="preserve">/Air</t>
    </r>
  </si>
  <si>
    <r>
      <rPr>
        <sz val="10"/>
        <rFont val="Arial"/>
        <family val="0"/>
        <charset val="1"/>
      </rPr>
      <t xml:space="preserve">ANA VISA</t>
    </r>
    <r>
      <rPr>
        <sz val="10"/>
        <rFont val="WenQuanYi Zen Hei"/>
        <family val="2"/>
      </rPr>
      <t xml:space="preserve">プラチナ</t>
    </r>
  </si>
  <si>
    <t xml:space="preserve">AMAZON.CO.JP</t>
  </si>
  <si>
    <t xml:space="preserve">Square(DAILY BAKES)</t>
  </si>
  <si>
    <t xml:space="preserve">ローソン</t>
  </si>
  <si>
    <r>
      <rPr>
        <sz val="10"/>
        <rFont val="Arial"/>
        <family val="0"/>
        <charset val="1"/>
      </rPr>
      <t xml:space="preserve">AmazonPay(</t>
    </r>
    <r>
      <rPr>
        <sz val="10"/>
        <rFont val="WenQuanYi Zen Hei"/>
        <family val="2"/>
      </rPr>
      <t xml:space="preserve">モダンデコ</t>
    </r>
    <r>
      <rPr>
        <sz val="10"/>
        <rFont val="Arial"/>
        <family val="0"/>
        <charset val="1"/>
      </rPr>
      <t xml:space="preserve">)</t>
    </r>
  </si>
  <si>
    <t xml:space="preserve">家具・インテリア</t>
  </si>
  <si>
    <t xml:space="preserve">FLYMEe(BtoB)</t>
  </si>
  <si>
    <t xml:space="preserve">家具</t>
  </si>
  <si>
    <t xml:space="preserve">プラチナカード年会費</t>
  </si>
  <si>
    <r>
      <rPr>
        <sz val="10"/>
        <rFont val="Arial"/>
        <family val="0"/>
        <charset val="1"/>
      </rPr>
      <t xml:space="preserve">ANA VISA</t>
    </r>
    <r>
      <rPr>
        <sz val="10"/>
        <rFont val="WenQuanYi Zen Hei"/>
        <family val="2"/>
      </rPr>
      <t xml:space="preserve">プラチナ年会費</t>
    </r>
  </si>
  <si>
    <t xml:space="preserve">DigKag</t>
  </si>
  <si>
    <t xml:space="preserve">第五フジタクシー</t>
  </si>
  <si>
    <r>
      <rPr>
        <sz val="10"/>
        <rFont val="WenQuanYi Zen Hei"/>
        <family val="2"/>
      </rPr>
      <t xml:space="preserve">エクセルシオール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岐阜</t>
    </r>
    <r>
      <rPr>
        <sz val="10"/>
        <rFont val="Arial"/>
        <family val="0"/>
        <charset val="1"/>
      </rPr>
      <t xml:space="preserve">)</t>
    </r>
  </si>
  <si>
    <t xml:space="preserve">ケンタッキーフライドチキン</t>
  </si>
  <si>
    <t xml:space="preserve">星乃珈琲店 練馬中村店</t>
  </si>
  <si>
    <t xml:space="preserve">タイムズパーキング</t>
  </si>
  <si>
    <r>
      <rPr>
        <sz val="10"/>
        <rFont val="Arial"/>
        <family val="0"/>
        <charset val="1"/>
      </rPr>
      <t xml:space="preserve">AmazonPay(</t>
    </r>
    <r>
      <rPr>
        <sz val="10"/>
        <rFont val="WenQuanYi Zen Hei"/>
        <family val="2"/>
      </rPr>
      <t xml:space="preserve">ソファ専門店</t>
    </r>
    <r>
      <rPr>
        <sz val="10"/>
        <rFont val="Arial"/>
        <family val="0"/>
        <charset val="1"/>
      </rPr>
      <t xml:space="preserve">NOYES)</t>
    </r>
  </si>
  <si>
    <r>
      <rPr>
        <sz val="10"/>
        <rFont val="Arial"/>
        <family val="0"/>
        <charset val="1"/>
      </rPr>
      <t xml:space="preserve">AmazonPay(</t>
    </r>
    <r>
      <rPr>
        <sz val="10"/>
        <rFont val="WenQuanYi Zen Hei"/>
        <family val="2"/>
      </rPr>
      <t xml:space="preserve">アルモニア</t>
    </r>
    <r>
      <rPr>
        <sz val="10"/>
        <rFont val="Arial"/>
        <family val="0"/>
        <charset val="1"/>
      </rPr>
      <t xml:space="preserve">)</t>
    </r>
  </si>
  <si>
    <t xml:space="preserve">日本郵便</t>
  </si>
  <si>
    <t xml:space="preserve">郵送</t>
  </si>
  <si>
    <t xml:space="preserve">チェッカーキャブ</t>
  </si>
  <si>
    <t xml:space="preserve">ファミリーマート 中野鷺宮一丁目</t>
  </si>
  <si>
    <t xml:space="preserve">ENEOS-SS</t>
  </si>
  <si>
    <t xml:space="preserve">ニッポンレンタカー</t>
  </si>
  <si>
    <t xml:space="preserve">レンタカー</t>
  </si>
  <si>
    <t xml:space="preserve">ドトールコーヒー</t>
  </si>
  <si>
    <r>
      <rPr>
        <sz val="10"/>
        <rFont val="Arial"/>
        <family val="0"/>
        <charset val="1"/>
      </rPr>
      <t xml:space="preserve">Square(HeartLife </t>
    </r>
    <r>
      <rPr>
        <sz val="10"/>
        <rFont val="WenQuanYi Zen Hei"/>
        <family val="2"/>
      </rPr>
      <t xml:space="preserve">こころの悩み相談</t>
    </r>
    <r>
      <rPr>
        <sz val="10"/>
        <rFont val="Arial"/>
        <family val="0"/>
        <charset val="1"/>
      </rPr>
      <t xml:space="preserve">)</t>
    </r>
  </si>
  <si>
    <t xml:space="preserve">UPMARKET PIZZA&amp;CAFE</t>
  </si>
  <si>
    <t xml:space="preserve">星乃珈琲店 練馬西口店</t>
  </si>
  <si>
    <t xml:space="preserve">Audible</t>
  </si>
  <si>
    <t xml:space="preserve">野方餃子</t>
  </si>
  <si>
    <t xml:space="preserve">福しん 練馬店</t>
  </si>
  <si>
    <t xml:space="preserve">AmazonPay(ACTUS)</t>
  </si>
  <si>
    <t xml:space="preserve">FAVORRIC</t>
  </si>
  <si>
    <r>
      <rPr>
        <sz val="10"/>
        <rFont val="Arial"/>
        <family val="0"/>
        <charset val="1"/>
      </rPr>
      <t xml:space="preserve">AMAZON.CO.JP(</t>
    </r>
    <r>
      <rPr>
        <sz val="10"/>
        <rFont val="WenQuanYi Zen Hei"/>
        <family val="2"/>
      </rPr>
      <t xml:space="preserve">返品</t>
    </r>
    <r>
      <rPr>
        <sz val="10"/>
        <rFont val="Arial"/>
        <family val="0"/>
        <charset val="1"/>
      </rPr>
      <t xml:space="preserve">)</t>
    </r>
  </si>
  <si>
    <t xml:space="preserve">返品</t>
  </si>
  <si>
    <t xml:space="preserve">高額・返品済</t>
  </si>
  <si>
    <r>
      <rPr>
        <sz val="10"/>
        <rFont val="Arial"/>
        <family val="0"/>
        <charset val="1"/>
      </rPr>
      <t xml:space="preserve">AmazonPay(</t>
    </r>
    <r>
      <rPr>
        <sz val="10"/>
        <rFont val="WenQuanYi Zen Hei"/>
        <family val="2"/>
      </rPr>
      <t xml:space="preserve">リセノ</t>
    </r>
    <r>
      <rPr>
        <sz val="10"/>
        <rFont val="Arial"/>
        <family val="0"/>
        <charset val="1"/>
      </rPr>
      <t xml:space="preserve">)</t>
    </r>
  </si>
  <si>
    <t xml:space="preserve">マツモトキヨシ ぱぱす練馬駅前店</t>
  </si>
  <si>
    <r>
      <rPr>
        <sz val="10"/>
        <rFont val="Arial"/>
        <family val="0"/>
        <charset val="1"/>
      </rPr>
      <t xml:space="preserve">AYA</t>
    </r>
    <r>
      <rPr>
        <sz val="10"/>
        <rFont val="WenQuanYi Zen Hei"/>
        <family val="2"/>
      </rPr>
      <t xml:space="preserve">交通</t>
    </r>
  </si>
  <si>
    <r>
      <rPr>
        <sz val="10"/>
        <rFont val="Arial"/>
        <family val="0"/>
        <charset val="1"/>
      </rPr>
      <t xml:space="preserve">AmazonPay(</t>
    </r>
    <r>
      <rPr>
        <sz val="10"/>
        <rFont val="WenQuanYi Zen Hei"/>
        <family val="2"/>
      </rPr>
      <t xml:space="preserve">パーフェクトスペースカーテン館</t>
    </r>
    <r>
      <rPr>
        <sz val="10"/>
        <rFont val="Arial"/>
        <family val="0"/>
        <charset val="1"/>
      </rPr>
      <t xml:space="preserve">)</t>
    </r>
  </si>
  <si>
    <t xml:space="preserve">カーテン</t>
  </si>
  <si>
    <t xml:space="preserve">エキア志木</t>
  </si>
  <si>
    <t xml:space="preserve">クラブジャイアンサロン</t>
  </si>
  <si>
    <t xml:space="preserve">ユニモール</t>
  </si>
  <si>
    <r>
      <rPr>
        <sz val="10"/>
        <rFont val="Arial"/>
        <family val="0"/>
        <charset val="1"/>
      </rPr>
      <t xml:space="preserve">ASTY</t>
    </r>
    <r>
      <rPr>
        <sz val="10"/>
        <rFont val="WenQuanYi Zen Hei"/>
        <family val="2"/>
      </rPr>
      <t xml:space="preserve">岐阜</t>
    </r>
  </si>
  <si>
    <t xml:space="preserve">共立タクシー</t>
  </si>
  <si>
    <t xml:space="preserve">マクドナルド</t>
  </si>
  <si>
    <t xml:space="preserve">西武新宿ぺぺ</t>
  </si>
  <si>
    <t xml:space="preserve">国際自動車</t>
  </si>
  <si>
    <t xml:space="preserve">24/7Workout</t>
  </si>
  <si>
    <t xml:space="preserve">パーソナルジム</t>
  </si>
  <si>
    <t xml:space="preserve">ドトールコーヒー 新宿サブナード店</t>
  </si>
  <si>
    <t xml:space="preserve">大阪王将 東高円寺店</t>
  </si>
  <si>
    <t xml:space="preserve">サンマルクカフェ 小伝馬町駅前店</t>
  </si>
  <si>
    <t xml:space="preserve">東都タクシー無線</t>
  </si>
  <si>
    <t xml:space="preserve">個人タクシー本部</t>
  </si>
  <si>
    <t xml:space="preserve">游玄亭 新宿</t>
  </si>
  <si>
    <t xml:space="preserve">ステーキガスト</t>
  </si>
  <si>
    <t xml:space="preserve">アイポスネット駐車場</t>
  </si>
  <si>
    <t xml:space="preserve">ドミノ・ピザ ジャパン</t>
  </si>
  <si>
    <t xml:space="preserve">マルエツ 都立家政駅前店</t>
  </si>
  <si>
    <t xml:space="preserve">デニーズ 野方店</t>
  </si>
  <si>
    <t xml:space="preserve">前野原温泉 さやの湯処</t>
  </si>
  <si>
    <r>
      <rPr>
        <sz val="10"/>
        <rFont val="Arial"/>
        <family val="0"/>
        <charset val="1"/>
      </rPr>
      <t xml:space="preserve">BASE(</t>
    </r>
    <r>
      <rPr>
        <sz val="10"/>
        <rFont val="WenQuanYi Zen Hei"/>
        <family val="2"/>
      </rPr>
      <t xml:space="preserve">アデロ</t>
    </r>
    <r>
      <rPr>
        <sz val="10"/>
        <rFont val="Arial"/>
        <family val="0"/>
        <charset val="1"/>
      </rPr>
      <t xml:space="preserve">)</t>
    </r>
  </si>
  <si>
    <t xml:space="preserve">エキスパ</t>
  </si>
  <si>
    <t xml:space="preserve">配信ツール・要確認</t>
  </si>
  <si>
    <t xml:space="preserve">楽天ペイ レスピア</t>
  </si>
  <si>
    <t xml:space="preserve">ジョナサン</t>
  </si>
  <si>
    <t xml:space="preserve">ファミリーマート 杉並松ノ木一丁目</t>
  </si>
  <si>
    <t xml:space="preserve">岐阜名鉄タクシー</t>
  </si>
  <si>
    <t xml:space="preserve">日の丸自動車 東営業所</t>
  </si>
  <si>
    <r>
      <rPr>
        <sz val="10"/>
        <rFont val="Arial"/>
        <family val="0"/>
        <charset val="1"/>
      </rPr>
      <t xml:space="preserve">Lounge </t>
    </r>
    <r>
      <rPr>
        <sz val="10"/>
        <rFont val="WenQuanYi Zen Hei"/>
        <family val="2"/>
      </rPr>
      <t xml:space="preserve">優</t>
    </r>
  </si>
  <si>
    <t xml:space="preserve">接待</t>
  </si>
  <si>
    <r>
      <rPr>
        <sz val="10"/>
        <rFont val="WenQuanYi Zen Hei"/>
        <family val="2"/>
      </rPr>
      <t xml:space="preserve">三井のリパーク中野中央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丁目第</t>
    </r>
    <r>
      <rPr>
        <sz val="10"/>
        <rFont val="Arial"/>
        <family val="0"/>
        <charset val="1"/>
      </rPr>
      <t xml:space="preserve">4</t>
    </r>
  </si>
  <si>
    <t xml:space="preserve">ファミリーマート 中野中央二丁目</t>
  </si>
  <si>
    <t xml:space="preserve">お好み焼かつみ</t>
  </si>
  <si>
    <t xml:space="preserve">ファミリーマート 和光越後山通り</t>
  </si>
  <si>
    <t xml:space="preserve">かしわや</t>
  </si>
  <si>
    <t xml:space="preserve">ROY UNION LIMITED(HK)</t>
  </si>
  <si>
    <t xml:space="preserve">海外・要確認</t>
  </si>
  <si>
    <t xml:space="preserve">中日本高速道路 東京支社</t>
  </si>
  <si>
    <r>
      <rPr>
        <sz val="10"/>
        <rFont val="Arial"/>
        <family val="0"/>
        <charset val="1"/>
      </rPr>
      <t xml:space="preserve">ETC </t>
    </r>
    <r>
      <rPr>
        <sz val="10"/>
        <rFont val="WenQuanYi Zen Hei"/>
        <family val="2"/>
      </rPr>
      <t xml:space="preserve">東京支社</t>
    </r>
  </si>
  <si>
    <t xml:space="preserve">タリーズコーヒー昭和大学藤が丘病院</t>
  </si>
  <si>
    <t xml:space="preserve">伊勢丹 新宿本店</t>
  </si>
  <si>
    <t xml:space="preserve">贈答等</t>
  </si>
  <si>
    <t xml:space="preserve">日幸</t>
  </si>
  <si>
    <t xml:space="preserve">高額</t>
  </si>
  <si>
    <t xml:space="preserve">とろたく 神田店</t>
  </si>
  <si>
    <t xml:space="preserve">ビックカメラ新宿東口店</t>
  </si>
  <si>
    <t xml:space="preserve">高額・家電</t>
  </si>
  <si>
    <t xml:space="preserve">ユニクロ</t>
  </si>
  <si>
    <r>
      <rPr>
        <sz val="10"/>
        <rFont val="Arial"/>
        <family val="0"/>
        <charset val="1"/>
      </rPr>
      <t xml:space="preserve">BIGBOX</t>
    </r>
    <r>
      <rPr>
        <sz val="10"/>
        <rFont val="WenQuanYi Zen Hei"/>
        <family val="2"/>
      </rPr>
      <t xml:space="preserve">高田馬場</t>
    </r>
  </si>
  <si>
    <t xml:space="preserve">スガイ交通</t>
  </si>
  <si>
    <r>
      <rPr>
        <sz val="10"/>
        <rFont val="WenQuanYi Zen Hei"/>
        <family val="2"/>
      </rPr>
      <t xml:space="preserve">三井のリパーク南大塚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丁目第</t>
    </r>
    <r>
      <rPr>
        <sz val="10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</si>
  <si>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泉天空の湯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有明ガーデン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</si>
  <si>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ビックカメラ名古屋</t>
    </r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ゲートタワー店</t>
    </r>
  </si>
  <si>
    <t xml:space="preserve">日本自動車交通</t>
  </si>
  <si>
    <t xml:space="preserve">GOOGLE EBOOKJAPAN</t>
  </si>
  <si>
    <t xml:space="preserve">エクセルシオール 新宿小滝橋通り店</t>
  </si>
  <si>
    <t xml:space="preserve">楽天ペイ テキサス オペラシティ</t>
  </si>
  <si>
    <t xml:space="preserve">弥生株式会社</t>
  </si>
  <si>
    <t xml:space="preserve">会計ソフト年額</t>
  </si>
  <si>
    <t xml:space="preserve">すき家</t>
  </si>
  <si>
    <t xml:space="preserve">サンジェルマン 藤が丘</t>
  </si>
  <si>
    <t xml:space="preserve">サンマルクカフェ 藤が丘駅前店</t>
  </si>
  <si>
    <t xml:space="preserve">ビストロ 和芯</t>
  </si>
  <si>
    <t xml:space="preserve">サブナード</t>
  </si>
  <si>
    <t xml:space="preserve">ヤマト運輸</t>
  </si>
  <si>
    <t xml:space="preserve">配送</t>
  </si>
  <si>
    <t xml:space="preserve">肉刺し酒場 和亭</t>
  </si>
  <si>
    <t xml:space="preserve">大丸交通</t>
  </si>
  <si>
    <t xml:space="preserve">IMOM COFFEE</t>
  </si>
  <si>
    <t xml:space="preserve">さがみ交通</t>
  </si>
  <si>
    <t xml:space="preserve">24/7Workout ONLINESHOP</t>
  </si>
  <si>
    <t xml:space="preserve">ジム関連</t>
  </si>
  <si>
    <t xml:space="preserve">楽天ペイ バルメシヤマダ</t>
  </si>
  <si>
    <t xml:space="preserve">エクセルシオール 聖路加ガーデン店</t>
  </si>
  <si>
    <t xml:space="preserve">羽田空港旅客ターミナル</t>
  </si>
  <si>
    <t xml:space="preserve">新宿高速バスターミナル</t>
  </si>
  <si>
    <r>
      <rPr>
        <sz val="10"/>
        <rFont val="WenQuanYi Zen Hei"/>
        <family val="2"/>
      </rPr>
      <t xml:space="preserve">タリーズコーヒー羽田空港第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ターミナル</t>
    </r>
  </si>
  <si>
    <t xml:space="preserve">無限サービス 本社営業所</t>
  </si>
  <si>
    <t xml:space="preserve">酒処 空流</t>
  </si>
  <si>
    <t xml:space="preserve">元気七輪焼肉 牛繁 野方店</t>
  </si>
  <si>
    <t xml:space="preserve">ノート</t>
  </si>
  <si>
    <t xml:space="preserve">篠崎公園第一駐車場</t>
  </si>
  <si>
    <t xml:space="preserve">スシロー</t>
  </si>
  <si>
    <t xml:space="preserve">柴田屋酒店 新中野本店</t>
  </si>
  <si>
    <t xml:space="preserve">酒類</t>
  </si>
  <si>
    <t xml:space="preserve">日本交通 千住第一営業所</t>
  </si>
  <si>
    <t xml:space="preserve">トロ政 新橋店</t>
  </si>
  <si>
    <t xml:space="preserve">立ち寿司横丁 中野サンモール店</t>
  </si>
  <si>
    <t xml:space="preserve">鎌倉パスタ 中野セントラルパーク店</t>
  </si>
  <si>
    <t xml:space="preserve">LIVECAFE G</t>
  </si>
  <si>
    <r>
      <rPr>
        <sz val="10"/>
        <rFont val="Arial"/>
        <family val="0"/>
        <charset val="1"/>
      </rPr>
      <t xml:space="preserve">BASE(</t>
    </r>
    <r>
      <rPr>
        <sz val="10"/>
        <rFont val="WenQuanYi Zen Hei"/>
        <family val="2"/>
      </rPr>
      <t xml:space="preserve">ホワイトボードスポーツ</t>
    </r>
    <r>
      <rPr>
        <sz val="10"/>
        <rFont val="Arial"/>
        <family val="0"/>
        <charset val="1"/>
      </rPr>
      <t xml:space="preserve">)</t>
    </r>
  </si>
  <si>
    <t xml:space="preserve">高額・住民税等</t>
  </si>
  <si>
    <t xml:space="preserve">ドコモご利用料金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</si>
  <si>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月分</t>
    </r>
  </si>
  <si>
    <r>
      <rPr>
        <sz val="10"/>
        <rFont val="Arial"/>
        <family val="0"/>
        <charset val="1"/>
      </rPr>
      <t xml:space="preserve">Anthropic Claude </t>
    </r>
    <r>
      <rPr>
        <sz val="10"/>
        <rFont val="WenQuanYi Zen Hei"/>
        <family val="2"/>
      </rPr>
      <t xml:space="preserve">サブスク</t>
    </r>
  </si>
  <si>
    <t xml:space="preserve">USD22.00</t>
  </si>
  <si>
    <t xml:space="preserve">USD49.50</t>
  </si>
  <si>
    <r>
      <rPr>
        <sz val="10"/>
        <rFont val="Arial"/>
        <family val="0"/>
        <charset val="1"/>
      </rPr>
      <t xml:space="preserve">MOS(</t>
    </r>
    <r>
      <rPr>
        <sz val="10"/>
        <rFont val="WenQuanYi Zen Hei"/>
        <family val="2"/>
      </rPr>
      <t xml:space="preserve">台北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</si>
  <si>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EVER RICH DFS(</t>
    </r>
    <r>
      <rPr>
        <sz val="10"/>
        <rFont val="WenQuanYi Zen Hei"/>
        <family val="2"/>
      </rPr>
      <t xml:space="preserve">台北</t>
    </r>
    <r>
      <rPr>
        <sz val="10"/>
        <rFont val="Arial"/>
        <family val="0"/>
        <charset val="1"/>
      </rPr>
      <t xml:space="preserve">)</t>
    </r>
  </si>
  <si>
    <t xml:space="preserve">免税店・土産</t>
  </si>
  <si>
    <r>
      <rPr>
        <sz val="10"/>
        <rFont val="Arial"/>
        <family val="0"/>
        <charset val="1"/>
      </rPr>
      <t xml:space="preserve">USD217.65 Max</t>
    </r>
    <r>
      <rPr>
        <sz val="10"/>
        <rFont val="WenQuanYi Zen Hei"/>
        <family val="2"/>
      </rPr>
      <t xml:space="preserve">プラン</t>
    </r>
  </si>
  <si>
    <t xml:space="preserve">不動産科学研究所</t>
  </si>
  <si>
    <t xml:space="preserve">VICTORIA</t>
  </si>
  <si>
    <t xml:space="preserve">スポーツ用品</t>
  </si>
  <si>
    <t xml:space="preserve">練馬 魚たか</t>
  </si>
  <si>
    <t xml:space="preserve">PayPal(STOPOVER)</t>
  </si>
  <si>
    <t xml:space="preserve">旅行手配・要確認</t>
  </si>
  <si>
    <r>
      <rPr>
        <sz val="10"/>
        <rFont val="WenQuanYi Zen Hei"/>
        <family val="2"/>
      </rPr>
      <t xml:space="preserve">ナビパーク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アイポス</t>
    </r>
    <r>
      <rPr>
        <sz val="10"/>
        <rFont val="Arial"/>
        <family val="0"/>
        <charset val="1"/>
      </rPr>
      <t xml:space="preserve">)</t>
    </r>
  </si>
  <si>
    <t xml:space="preserve">ロイヤルホスト中野店</t>
  </si>
  <si>
    <t xml:space="preserve">トーアコーヒーカフェ東亜サプライ店</t>
  </si>
  <si>
    <t xml:space="preserve">APPLE.COM/JP</t>
  </si>
  <si>
    <r>
      <rPr>
        <sz val="10"/>
        <rFont val="WenQuanYi Zen Hei"/>
        <family val="2"/>
      </rPr>
      <t xml:space="preserve">高額・</t>
    </r>
    <r>
      <rPr>
        <sz val="10"/>
        <rFont val="Arial"/>
        <family val="0"/>
        <charset val="1"/>
      </rPr>
      <t xml:space="preserve">Apple</t>
    </r>
    <r>
      <rPr>
        <sz val="10"/>
        <rFont val="WenQuanYi Zen Hei"/>
        <family val="2"/>
      </rPr>
      <t xml:space="preserve">製品</t>
    </r>
  </si>
  <si>
    <t xml:space="preserve">APPLE COM BILL</t>
  </si>
  <si>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東日本みどりの窓口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びゅうプラザ</t>
    </r>
    <r>
      <rPr>
        <sz val="10"/>
        <rFont val="Arial"/>
        <family val="0"/>
        <charset val="1"/>
      </rPr>
      <t xml:space="preserve">)</t>
    </r>
  </si>
  <si>
    <t xml:space="preserve">島忠ホームセンター中野店</t>
  </si>
  <si>
    <t xml:space="preserve">ダイニー</t>
  </si>
  <si>
    <t xml:space="preserve">ニューダイトン</t>
  </si>
  <si>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東海</t>
    </r>
  </si>
  <si>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西日本</t>
    </r>
  </si>
  <si>
    <r>
      <rPr>
        <sz val="10"/>
        <rFont val="Arial"/>
        <family val="0"/>
        <charset val="1"/>
      </rPr>
      <t xml:space="preserve">arde</t>
    </r>
    <r>
      <rPr>
        <sz val="10"/>
        <rFont val="WenQuanYi Zen Hei"/>
        <family val="2"/>
      </rPr>
      <t xml:space="preserve">新大阪</t>
    </r>
  </si>
  <si>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四国</t>
    </r>
  </si>
  <si>
    <t xml:space="preserve">楽天ペイ コジンタカダ</t>
  </si>
  <si>
    <t xml:space="preserve">GOOD CACAO</t>
  </si>
  <si>
    <t xml:space="preserve">サンステーションテラス岡山</t>
  </si>
  <si>
    <r>
      <rPr>
        <sz val="10"/>
        <rFont val="Arial"/>
        <family val="0"/>
        <charset val="1"/>
      </rPr>
      <t xml:space="preserve">ASTY</t>
    </r>
    <r>
      <rPr>
        <sz val="10"/>
        <rFont val="WenQuanYi Zen Hei"/>
        <family val="2"/>
      </rPr>
      <t xml:space="preserve">京都・新大阪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</si>
  <si>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月分</t>
    </r>
  </si>
  <si>
    <t xml:space="preserve">イチネンパーキング</t>
  </si>
  <si>
    <r>
      <rPr>
        <sz val="10"/>
        <rFont val="Arial"/>
        <family val="0"/>
        <charset val="1"/>
      </rPr>
      <t xml:space="preserve">SCOOT</t>
    </r>
    <r>
      <rPr>
        <sz val="10"/>
        <rFont val="WenQuanYi Zen Hei"/>
        <family val="2"/>
      </rPr>
      <t xml:space="preserve">航空</t>
    </r>
    <r>
      <rPr>
        <sz val="10"/>
        <rFont val="Arial"/>
        <family val="0"/>
        <charset val="1"/>
      </rPr>
      <t xml:space="preserve">(TIGERAIR)</t>
    </r>
  </si>
  <si>
    <r>
      <rPr>
        <sz val="10"/>
        <rFont val="Arial"/>
        <family val="0"/>
        <charset val="1"/>
      </rPr>
      <t xml:space="preserve">LCC</t>
    </r>
    <r>
      <rPr>
        <sz val="10"/>
        <rFont val="WenQuanYi Zen Hei"/>
        <family val="2"/>
      </rPr>
      <t xml:space="preserve">航空券</t>
    </r>
  </si>
  <si>
    <r>
      <rPr>
        <sz val="10"/>
        <rFont val="Arial"/>
        <family val="0"/>
        <charset val="1"/>
      </rPr>
      <t xml:space="preserve">SCOOT CAFE(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</si>
  <si>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SKYPARK</t>
    </r>
    <r>
      <rPr>
        <sz val="10"/>
        <rFont val="WenQuanYi Zen Hei"/>
        <family val="2"/>
      </rPr>
      <t xml:space="preserve">展望台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</si>
  <si>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t xml:space="preserve">海外・観光</t>
  </si>
  <si>
    <r>
      <rPr>
        <sz val="10"/>
        <rFont val="Arial"/>
        <family val="0"/>
        <charset val="1"/>
      </rPr>
      <t xml:space="preserve">CE LA VI(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</si>
  <si>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7-ELEVEN(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</si>
  <si>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SKY PARK KIOSK(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</si>
  <si>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TRANSIT(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</si>
  <si>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t xml:space="preserve">NATIONAL GALLERY SG</t>
  </si>
  <si>
    <r>
      <rPr>
        <sz val="10"/>
        <rFont val="Arial"/>
        <family val="0"/>
        <charset val="1"/>
      </rPr>
      <t xml:space="preserve">THE COCONUT CLUB(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</si>
  <si>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THE COFFEE BEAN MBS(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</si>
  <si>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BLACK SHEEP &amp; CO.(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</si>
  <si>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t xml:space="preserve">FLYSCOOT.COM</t>
  </si>
  <si>
    <r>
      <rPr>
        <sz val="10"/>
        <rFont val="Arial"/>
        <family val="0"/>
        <charset val="1"/>
      </rPr>
      <t xml:space="preserve">USD220.00 Max</t>
    </r>
    <r>
      <rPr>
        <sz val="10"/>
        <rFont val="WenQuanYi Zen Hei"/>
        <family val="2"/>
      </rPr>
      <t xml:space="preserve">プラン</t>
    </r>
  </si>
  <si>
    <r>
      <rPr>
        <sz val="10"/>
        <rFont val="Arial"/>
        <family val="0"/>
        <charset val="1"/>
      </rPr>
      <t xml:space="preserve">TARMAN TURIZM(</t>
    </r>
    <r>
      <rPr>
        <sz val="10"/>
        <rFont val="WenQuanYi Zen Hei"/>
        <family val="2"/>
      </rPr>
      <t xml:space="preserve">トルコ</t>
    </r>
    <r>
      <rPr>
        <sz val="10"/>
        <rFont val="Arial"/>
        <family val="0"/>
        <charset val="1"/>
      </rPr>
      <t xml:space="preserve">)</t>
    </r>
  </si>
  <si>
    <t xml:space="preserve">海外・ツアー</t>
  </si>
  <si>
    <r>
      <rPr>
        <sz val="10"/>
        <rFont val="Arial"/>
        <family val="0"/>
        <charset val="1"/>
      </rPr>
      <t xml:space="preserve">TERMESSOS TERACE CAFE(</t>
    </r>
    <r>
      <rPr>
        <sz val="10"/>
        <rFont val="WenQuanYi Zen Hei"/>
        <family val="2"/>
      </rPr>
      <t xml:space="preserve">トルコ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</si>
  <si>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GOREME BELEDIYESI(</t>
    </r>
    <r>
      <rPr>
        <sz val="10"/>
        <rFont val="WenQuanYi Zen Hei"/>
        <family val="2"/>
      </rPr>
      <t xml:space="preserve">トルコ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</si>
  <si>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CAPPADOCIAN CUISINE(</t>
    </r>
    <r>
      <rPr>
        <sz val="10"/>
        <rFont val="WenQuanYi Zen Hei"/>
        <family val="2"/>
      </rPr>
      <t xml:space="preserve">トルコ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</si>
  <si>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DREAM SPOT TURIZM(</t>
    </r>
    <r>
      <rPr>
        <sz val="10"/>
        <rFont val="WenQuanYi Zen Hei"/>
        <family val="2"/>
      </rPr>
      <t xml:space="preserve">トルコ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</si>
  <si>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明細未添付分</t>
    </r>
    <r>
      <rPr>
        <sz val="10"/>
        <rFont val="Arial"/>
        <family val="0"/>
        <charset val="1"/>
      </rPr>
      <t xml:space="preserve">:ANA 5/11</t>
    </r>
    <r>
      <rPr>
        <sz val="10"/>
        <rFont val="WenQuanYi Zen Hei"/>
        <family val="2"/>
      </rPr>
      <t xml:space="preserve">支払明細の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ページ目</t>
    </r>
    <r>
      <rPr>
        <sz val="10"/>
        <rFont val="Arial"/>
        <family val="0"/>
        <charset val="1"/>
      </rPr>
      <t xml:space="preserve">)</t>
    </r>
  </si>
  <si>
    <t xml:space="preserve">不明・要確認</t>
  </si>
  <si>
    <r>
      <rPr>
        <sz val="10"/>
        <rFont val="Arial"/>
        <family val="0"/>
        <charset val="1"/>
      </rPr>
      <t xml:space="preserve">PDF</t>
    </r>
    <r>
      <rPr>
        <sz val="10"/>
        <rFont val="WenQuanYi Zen Hei"/>
        <family val="2"/>
      </rPr>
      <t xml:space="preserve">未添付。合計</t>
    </r>
    <r>
      <rPr>
        <sz val="10"/>
        <rFont val="Arial"/>
        <family val="0"/>
        <charset val="1"/>
      </rPr>
      <t xml:space="preserve">7,404,159</t>
    </r>
    <r>
      <rPr>
        <sz val="10"/>
        <rFont val="WenQuanYi Zen Hei"/>
        <family val="2"/>
      </rPr>
      <t xml:space="preserve">円との差額</t>
    </r>
  </si>
  <si>
    <r>
      <rPr>
        <b val="true"/>
        <sz val="14"/>
        <rFont val="WenQuanYi Zen Hei"/>
        <family val="2"/>
      </rPr>
      <t xml:space="preserve">勘定科目別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利用月別 集計</t>
    </r>
    <r>
      <rPr>
        <b val="true"/>
        <sz val="14"/>
        <rFont val="Arial"/>
        <family val="0"/>
        <charset val="1"/>
      </rPr>
      <t xml:space="preserve">(2</t>
    </r>
    <r>
      <rPr>
        <b val="true"/>
        <sz val="14"/>
        <rFont val="WenQuanYi Zen Hei"/>
        <family val="2"/>
      </rPr>
      <t xml:space="preserve">枚のカード合算・単位</t>
    </r>
    <r>
      <rPr>
        <b val="true"/>
        <sz val="14"/>
        <rFont val="Arial"/>
        <family val="0"/>
        <charset val="1"/>
      </rPr>
      <t xml:space="preserve">:</t>
    </r>
    <r>
      <rPr>
        <b val="true"/>
        <sz val="14"/>
        <rFont val="WenQuanYi Zen Hei"/>
        <family val="2"/>
      </rPr>
      <t xml:space="preserve">円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</si>
  <si>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対象期間</t>
    </r>
    <r>
      <rPr>
        <sz val="10"/>
        <rFont val="Arial"/>
        <family val="0"/>
        <charset val="1"/>
      </rPr>
      <t xml:space="preserve">: 2025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月末〜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月上旬利用分</t>
    </r>
    <r>
      <rPr>
        <sz val="10"/>
        <rFont val="Arial"/>
        <family val="0"/>
        <charset val="1"/>
      </rPr>
      <t xml:space="preserve">(AMEX 2025/12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2026/8</t>
    </r>
    <r>
      <rPr>
        <sz val="10"/>
        <rFont val="WenQuanYi Zen Hei"/>
        <family val="2"/>
      </rPr>
      <t xml:space="preserve">締め、</t>
    </r>
    <r>
      <rPr>
        <sz val="10"/>
        <rFont val="Arial"/>
        <family val="0"/>
        <charset val="1"/>
      </rPr>
      <t xml:space="preserve">ANA VISA 2026/2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2026/8</t>
    </r>
    <r>
      <rPr>
        <sz val="10"/>
        <rFont val="WenQuanYi Zen Hei"/>
        <family val="2"/>
      </rPr>
      <t xml:space="preserve">支払分</t>
    </r>
    <r>
      <rPr>
        <sz val="10"/>
        <rFont val="Arial"/>
        <family val="0"/>
        <charset val="1"/>
      </rPr>
      <t xml:space="preserve">)</t>
    </r>
  </si>
  <si>
    <t xml:space="preserve">2025-10</t>
  </si>
  <si>
    <t xml:space="preserve">2025-11</t>
  </si>
  <si>
    <t xml:space="preserve">合計</t>
  </si>
  <si>
    <t xml:space="preserve">構成比</t>
  </si>
  <si>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参考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租税公課を除く合計</t>
    </r>
  </si>
  <si>
    <r>
      <rPr>
        <b val="true"/>
        <sz val="14"/>
        <rFont val="WenQuanYi Zen Hei"/>
        <family val="2"/>
      </rPr>
      <t xml:space="preserve">カード別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利用月別 集計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単位</t>
    </r>
    <r>
      <rPr>
        <b val="true"/>
        <sz val="14"/>
        <rFont val="Arial"/>
        <family val="0"/>
        <charset val="1"/>
      </rPr>
      <t xml:space="preserve">:</t>
    </r>
    <r>
      <rPr>
        <b val="true"/>
        <sz val="14"/>
        <rFont val="WenQuanYi Zen Hei"/>
        <family val="2"/>
      </rPr>
      <t xml:space="preserve">円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</si>
  <si>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※ ANA VISA</t>
    </r>
    <r>
      <rPr>
        <sz val="10"/>
        <rFont val="WenQuanYi Zen Hei"/>
        <family val="2"/>
      </rPr>
      <t xml:space="preserve">は支払月ベースの明細のため、利用月は明細記載の利用日で集計。</t>
    </r>
  </si>
  <si>
    <r>
      <rPr>
        <sz val="10"/>
        <rFont val="Arial"/>
        <family val="0"/>
        <charset val="1"/>
      </rPr>
      <t xml:space="preserve">※ ANA 2026/5</t>
    </r>
    <r>
      <rPr>
        <sz val="10"/>
        <rFont val="WenQuanYi Zen Hei"/>
        <family val="2"/>
      </rPr>
      <t xml:space="preserve">支払分のうち</t>
    </r>
    <r>
      <rPr>
        <sz val="10"/>
        <rFont val="Arial"/>
        <family val="0"/>
        <charset val="1"/>
      </rPr>
      <t xml:space="preserve">1,350,511</t>
    </r>
    <r>
      <rPr>
        <sz val="10"/>
        <rFont val="WenQuanYi Zen Hei"/>
        <family val="2"/>
      </rPr>
      <t xml:space="preserve">円は明細</t>
    </r>
    <r>
      <rPr>
        <sz val="10"/>
        <rFont val="Arial"/>
        <family val="0"/>
        <charset val="1"/>
      </rPr>
      <t xml:space="preserve">PDF2</t>
    </r>
    <r>
      <rPr>
        <sz val="10"/>
        <rFont val="WenQuanYi Zen Hei"/>
        <family val="2"/>
      </rPr>
      <t xml:space="preserve">ページ目未添付のため内訳不明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全明細シート最終付近参照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</si>
  <si>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r>
      <rPr>
        <b val="true"/>
        <sz val="14"/>
        <rFont val="WenQuanYi Zen Hei"/>
        <family val="2"/>
      </rPr>
      <t xml:space="preserve">毎月発生している固定費・サブスクリプション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期間合計は全明細から</t>
    </r>
    <r>
      <rPr>
        <b val="true"/>
        <sz val="14"/>
        <rFont val="Arial"/>
        <family val="0"/>
        <charset val="1"/>
      </rPr>
      <t xml:space="preserve">SUMIF</t>
    </r>
    <r>
      <rPr>
        <b val="true"/>
        <sz val="14"/>
        <rFont val="WenQuanYi Zen Hei"/>
        <family val="2"/>
      </rPr>
      <t xml:space="preserve">で自動集計</t>
    </r>
    <r>
      <rPr>
        <b val="true"/>
        <sz val="14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</si>
  <si>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項目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利用先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</si>
  <si>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区分</t>
  </si>
  <si>
    <r>
      <rPr>
        <b val="true"/>
        <sz val="10"/>
        <color rgb="FFFFFFFF"/>
        <rFont val="WenQuanYi Zen Hei"/>
        <family val="2"/>
      </rPr>
      <t xml:space="preserve">期間合計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</si>
  <si>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出現回数</t>
  </si>
  <si>
    <r>
      <rPr>
        <b val="true"/>
        <sz val="10"/>
        <color rgb="FFFFFFFF"/>
        <rFont val="WenQuanYi Zen Hei"/>
        <family val="2"/>
      </rPr>
      <t xml:space="preserve">月平均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</si>
  <si>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メモ・見直し提案</t>
  </si>
  <si>
    <r>
      <rPr>
        <sz val="10"/>
        <rFont val="WenQuanYi Zen Hei"/>
        <family val="2"/>
      </rPr>
      <t xml:space="preserve">毎月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日前後に</t>
    </r>
    <r>
      <rPr>
        <sz val="10"/>
        <rFont val="Arial"/>
        <family val="0"/>
        <charset val="1"/>
      </rPr>
      <t xml:space="preserve">55,000</t>
    </r>
    <r>
      <rPr>
        <sz val="10"/>
        <rFont val="WenQuanYi Zen Hei"/>
        <family val="2"/>
      </rPr>
      <t xml:space="preserve">円。</t>
    </r>
    <r>
      <rPr>
        <sz val="10"/>
        <rFont val="Arial"/>
        <family val="0"/>
        <charset val="1"/>
      </rPr>
      <t xml:space="preserve">0570-666-020</t>
    </r>
    <r>
      <rPr>
        <sz val="10"/>
        <rFont val="WenQuanYi Zen Hei"/>
        <family val="2"/>
      </rPr>
      <t xml:space="preserve">への定額支払。内容不明のため最優先で確認、不要なら解約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年▲</t>
    </r>
    <r>
      <rPr>
        <sz val="10"/>
        <rFont val="Arial"/>
        <family val="0"/>
        <charset val="1"/>
      </rPr>
      <t xml:space="preserve">66</t>
    </r>
    <r>
      <rPr>
        <sz val="10"/>
        <rFont val="WenQuanYi Zen Hei"/>
        <family val="2"/>
      </rPr>
      <t xml:space="preserve">万円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</si>
  <si>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8.6</t>
    </r>
    <r>
      <rPr>
        <sz val="10"/>
        <rFont val="WenQuanYi Zen Hei"/>
        <family val="2"/>
      </rPr>
      <t xml:space="preserve">万〜</t>
    </r>
    <r>
      <rPr>
        <sz val="10"/>
        <rFont val="Arial"/>
        <family val="0"/>
        <charset val="1"/>
      </rPr>
      <t xml:space="preserve">15.6</t>
    </r>
    <r>
      <rPr>
        <sz val="10"/>
        <rFont val="WenQuanYi Zen Hei"/>
        <family val="2"/>
      </rPr>
      <t xml:space="preserve">万円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従量</t>
    </r>
    <r>
      <rPr>
        <sz val="10"/>
        <rFont val="Arial"/>
        <family val="0"/>
        <charset val="1"/>
      </rPr>
      <t xml:space="preserve">?)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fondesk</t>
    </r>
    <r>
      <rPr>
        <sz val="10"/>
        <rFont val="WenQuanYi Zen Hei"/>
        <family val="2"/>
      </rPr>
      <t xml:space="preserve">等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万円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への切替やプラン見直しで月▲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万円の余地</t>
    </r>
  </si>
  <si>
    <r>
      <rPr>
        <sz val="10"/>
        <rFont val="Arial"/>
        <family val="0"/>
        <charset val="1"/>
      </rPr>
      <t xml:space="preserve">2026/1</t>
    </r>
    <r>
      <rPr>
        <sz val="10"/>
        <rFont val="WenQuanYi Zen Hei"/>
        <family val="2"/>
      </rPr>
      <t xml:space="preserve">まで月</t>
    </r>
    <r>
      <rPr>
        <sz val="10"/>
        <rFont val="Arial"/>
        <family val="0"/>
        <charset val="1"/>
      </rPr>
      <t xml:space="preserve">77,500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(50,000+27,500)→2</t>
    </r>
    <r>
      <rPr>
        <sz val="10"/>
        <rFont val="WenQuanYi Zen Hei"/>
        <family val="2"/>
      </rPr>
      <t xml:space="preserve">月以降</t>
    </r>
    <r>
      <rPr>
        <sz val="10"/>
        <rFont val="Arial"/>
        <family val="0"/>
        <charset val="1"/>
      </rPr>
      <t xml:space="preserve">27,500</t>
    </r>
    <r>
      <rPr>
        <sz val="10"/>
        <rFont val="WenQuanYi Zen Hei"/>
        <family val="2"/>
      </rPr>
      <t xml:space="preserve">円に減額済み。弥生導入済みなら範囲を再確認</t>
    </r>
  </si>
  <si>
    <r>
      <rPr>
        <sz val="10"/>
        <rFont val="WenQuanYi Zen Hei"/>
        <family val="2"/>
      </rPr>
      <t xml:space="preserve">毎月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Arial"/>
        <family val="0"/>
        <charset val="1"/>
      </rPr>
      <t xml:space="preserve">30,000</t>
    </r>
    <r>
      <rPr>
        <sz val="10"/>
        <rFont val="WenQuanYi Zen Hei"/>
        <family val="2"/>
      </rPr>
      <t xml:space="preserve">円。成果と継続要否を確認</t>
    </r>
  </si>
  <si>
    <t xml:space="preserve">オンラインサロン</t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</si>
  <si>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22,000</t>
    </r>
    <r>
      <rPr>
        <sz val="10"/>
        <rFont val="WenQuanYi Zen Hei"/>
        <family val="2"/>
      </rPr>
      <t xml:space="preserve">円。不動産系サロン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件と重複気味</t>
    </r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</si>
  <si>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16,500</t>
    </r>
    <r>
      <rPr>
        <sz val="10"/>
        <rFont val="WenQuanYi Zen Hei"/>
        <family val="2"/>
      </rPr>
      <t xml:space="preserve">円</t>
    </r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</si>
  <si>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10,780</t>
    </r>
    <r>
      <rPr>
        <sz val="10"/>
        <rFont val="WenQuanYi Zen Hei"/>
        <family val="2"/>
      </rPr>
      <t xml:space="preserve">円</t>
    </r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</si>
  <si>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3,300</t>
    </r>
    <r>
      <rPr>
        <sz val="10"/>
        <rFont val="WenQuanYi Zen Hei"/>
        <family val="2"/>
      </rPr>
      <t xml:space="preserve">円</t>
    </r>
  </si>
  <si>
    <t xml:space="preserve">車両</t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</si>
  <si>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27.7</t>
    </r>
    <r>
      <rPr>
        <sz val="10"/>
        <rFont val="WenQuanYi Zen Hei"/>
        <family val="2"/>
      </rPr>
      <t xml:space="preserve">万〜</t>
    </r>
    <r>
      <rPr>
        <sz val="10"/>
        <rFont val="Arial"/>
        <family val="0"/>
        <charset val="1"/>
      </rPr>
      <t xml:space="preserve">29.3</t>
    </r>
    <r>
      <rPr>
        <sz val="10"/>
        <rFont val="WenQuanYi Zen Hei"/>
        <family val="2"/>
      </rPr>
      <t xml:space="preserve">万円の月額レンタカー。カーシェア・リース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万円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比較で大幅削減余地</t>
    </r>
  </si>
  <si>
    <t xml:space="preserve">通信</t>
  </si>
  <si>
    <r>
      <rPr>
        <sz val="10"/>
        <rFont val="WenQuanYi Zen Hei"/>
        <family val="2"/>
      </rPr>
      <t xml:space="preserve">毎月末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回線・計約</t>
    </r>
    <r>
      <rPr>
        <sz val="10"/>
        <rFont val="Arial"/>
        <family val="0"/>
        <charset val="1"/>
      </rPr>
      <t xml:space="preserve">12,000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月。回線数の棚卸しと法人プラン統合</t>
    </r>
  </si>
  <si>
    <r>
      <rPr>
        <sz val="10"/>
        <rFont val="WenQuanYi Zen Hei"/>
        <family val="2"/>
      </rPr>
      <t xml:space="preserve">月約</t>
    </r>
    <r>
      <rPr>
        <sz val="10"/>
        <rFont val="Arial"/>
        <family val="0"/>
        <charset val="1"/>
      </rPr>
      <t xml:space="preserve">5,120</t>
    </r>
    <r>
      <rPr>
        <sz val="10"/>
        <rFont val="WenQuanYi Zen Hei"/>
        <family val="2"/>
      </rPr>
      <t xml:space="preserve">円。他回線と重複していないか確認</t>
    </r>
  </si>
  <si>
    <t xml:space="preserve">[BtoB]03Plus / 03Plus</t>
  </si>
  <si>
    <r>
      <rPr>
        <sz val="10"/>
        <rFont val="WenQuanYi Zen Hei"/>
        <family val="2"/>
      </rPr>
      <t xml:space="preserve">通信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クラウド電話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</si>
  <si>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月約</t>
    </r>
    <r>
      <rPr>
        <sz val="10"/>
        <rFont val="Arial"/>
        <family val="0"/>
        <charset val="1"/>
      </rPr>
      <t xml:space="preserve">3,800</t>
    </r>
    <r>
      <rPr>
        <sz val="10"/>
        <rFont val="WenQuanYi Zen Hei"/>
        <family val="2"/>
      </rPr>
      <t xml:space="preserve">円</t>
    </r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</si>
  <si>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8,510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13,284</t>
    </r>
    <r>
      <rPr>
        <sz val="10"/>
        <rFont val="WenQuanYi Zen Hei"/>
        <family val="2"/>
      </rPr>
      <t xml:space="preserve">円</t>
    </r>
  </si>
  <si>
    <t xml:space="preserve">AI</t>
  </si>
  <si>
    <r>
      <rPr>
        <sz val="10"/>
        <rFont val="Arial"/>
        <family val="0"/>
        <charset val="1"/>
      </rPr>
      <t xml:space="preserve">USD22+USD49.5+USD220(Max)</t>
    </r>
    <r>
      <rPr>
        <sz val="10"/>
        <rFont val="WenQuanYi Zen Hei"/>
        <family val="2"/>
      </rPr>
      <t xml:space="preserve">が併走した月あり。プラン一本化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年払いで月▲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万円前後</t>
    </r>
  </si>
  <si>
    <t xml:space="preserve">クラウド</t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</si>
  <si>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2,900</t>
    </r>
    <r>
      <rPr>
        <sz val="10"/>
        <rFont val="WenQuanYi Zen Hei"/>
        <family val="2"/>
      </rPr>
      <t xml:space="preserve">円</t>
    </r>
  </si>
  <si>
    <t xml:space="preserve">動画</t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</si>
  <si>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1,280</t>
    </r>
    <r>
      <rPr>
        <sz val="10"/>
        <rFont val="WenQuanYi Zen Hei"/>
        <family val="2"/>
      </rPr>
      <t xml:space="preserve">円</t>
    </r>
  </si>
  <si>
    <t xml:space="preserve">ソフト</t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</si>
  <si>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4,980</t>
    </r>
    <r>
      <rPr>
        <sz val="10"/>
        <rFont val="WenQuanYi Zen Hei"/>
        <family val="2"/>
      </rPr>
      <t xml:space="preserve">円</t>
    </r>
  </si>
  <si>
    <t xml:space="preserve">セキュリティ</t>
  </si>
  <si>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12,980</t>
    </r>
    <r>
      <rPr>
        <sz val="10"/>
        <rFont val="WenQuanYi Zen Hei"/>
        <family val="2"/>
      </rPr>
      <t xml:space="preserve">円。</t>
    </r>
    <r>
      <rPr>
        <sz val="10"/>
        <rFont val="Arial"/>
        <family val="0"/>
        <charset val="1"/>
      </rPr>
      <t xml:space="preserve">Windows Defender</t>
    </r>
    <r>
      <rPr>
        <sz val="10"/>
        <rFont val="WenQuanYi Zen Hei"/>
        <family val="2"/>
      </rPr>
      <t xml:space="preserve">等で代替可なら解約</t>
    </r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</si>
  <si>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5,478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×2</t>
    </r>
    <r>
      <rPr>
        <sz val="10"/>
        <rFont val="WenQuanYi Zen Hei"/>
        <family val="2"/>
      </rPr>
      <t xml:space="preserve">回検出。内容確認</t>
    </r>
  </si>
  <si>
    <r>
      <rPr>
        <sz val="10"/>
        <rFont val="Arial"/>
        <family val="0"/>
        <charset val="1"/>
      </rPr>
      <t xml:space="preserve">Apple iTunes Store / APPLE COM BILL / </t>
    </r>
    <r>
      <rPr>
        <sz val="10"/>
        <rFont val="WenQuanYi Zen Hei"/>
        <family val="2"/>
      </rPr>
      <t xml:space="preserve">アマゾンサービシーズ</t>
    </r>
  </si>
  <si>
    <t xml:space="preserve">アプリ・コンテンツ課金</t>
  </si>
  <si>
    <r>
      <rPr>
        <sz val="10"/>
        <rFont val="WenQuanYi Zen Hei"/>
        <family val="2"/>
      </rPr>
      <t xml:space="preserve">月平均約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万円。サブスク棚卸し</t>
    </r>
    <r>
      <rPr>
        <sz val="10"/>
        <rFont val="Arial"/>
        <family val="0"/>
        <charset val="1"/>
      </rPr>
      <t xml:space="preserve">(Apple</t>
    </r>
    <r>
      <rPr>
        <sz val="10"/>
        <rFont val="WenQuanYi Zen Hei"/>
        <family val="2"/>
      </rPr>
      <t xml:space="preserve">設定→サブスクリプションで一覧確認</t>
    </r>
    <r>
      <rPr>
        <sz val="10"/>
        <rFont val="Arial"/>
        <family val="0"/>
        <charset val="1"/>
      </rPr>
      <t xml:space="preserve">)</t>
    </r>
  </si>
  <si>
    <t xml:space="preserve">タクシーアプリ</t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</si>
  <si>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2,500</t>
    </r>
    <r>
      <rPr>
        <sz val="10"/>
        <rFont val="WenQuanYi Zen Hei"/>
        <family val="2"/>
      </rPr>
      <t xml:space="preserve">円。利用頻度と特典を確認</t>
    </r>
  </si>
  <si>
    <t xml:space="preserve">配信ツール</t>
  </si>
  <si>
    <r>
      <rPr>
        <sz val="10"/>
        <rFont val="Arial"/>
        <family val="0"/>
        <charset val="1"/>
      </rPr>
      <t xml:space="preserve">29,800</t>
    </r>
    <r>
      <rPr>
        <sz val="10"/>
        <rFont val="WenQuanYi Zen Hei"/>
        <family val="2"/>
      </rPr>
      <t xml:space="preserve">円。利用実態確認</t>
    </r>
  </si>
  <si>
    <t xml:space="preserve">会計ソフト</t>
  </si>
  <si>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74,470</t>
    </r>
    <r>
      <rPr>
        <sz val="10"/>
        <rFont val="WenQuanYi Zen Hei"/>
        <family val="2"/>
      </rPr>
      <t xml:space="preserve">円</t>
    </r>
  </si>
  <si>
    <t xml:space="preserve">24/7Workout / 24/7Workout ONLINESHOP</t>
  </si>
  <si>
    <r>
      <rPr>
        <sz val="10"/>
        <rFont val="WenQuanYi Zen Hei"/>
        <family val="2"/>
      </rPr>
      <t xml:space="preserve">月約</t>
    </r>
    <r>
      <rPr>
        <sz val="10"/>
        <rFont val="Arial"/>
        <family val="0"/>
        <charset val="1"/>
      </rPr>
      <t xml:space="preserve">37,000</t>
    </r>
    <r>
      <rPr>
        <sz val="10"/>
        <rFont val="WenQuanYi Zen Hei"/>
        <family val="2"/>
      </rPr>
      <t xml:space="preserve">円</t>
    </r>
  </si>
  <si>
    <r>
      <rPr>
        <sz val="10"/>
        <rFont val="Arial"/>
        <family val="0"/>
        <charset val="1"/>
      </rPr>
      <t xml:space="preserve">HEARTLIFE </t>
    </r>
    <r>
      <rPr>
        <sz val="10"/>
        <rFont val="WenQuanYi Zen Hei"/>
        <family val="2"/>
      </rPr>
      <t xml:space="preserve">こころの悩み相談所 </t>
    </r>
    <r>
      <rPr>
        <sz val="10"/>
        <rFont val="Arial"/>
        <family val="0"/>
        <charset val="1"/>
      </rPr>
      <t xml:space="preserve">/ Square(HeartLife </t>
    </r>
    <r>
      <rPr>
        <sz val="10"/>
        <rFont val="WenQuanYi Zen Hei"/>
        <family val="2"/>
      </rPr>
      <t xml:space="preserve">こころの悩み相談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</si>
  <si>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6,600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8,800</t>
    </r>
    <r>
      <rPr>
        <sz val="10"/>
        <rFont val="WenQuanYi Zen Hei"/>
        <family val="2"/>
      </rPr>
      <t xml:space="preserve">円</t>
    </r>
  </si>
  <si>
    <t xml:space="preserve">新幹線予約</t>
  </si>
  <si>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1,100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継続推奨・割引効果大</t>
    </r>
    <r>
      <rPr>
        <sz val="10"/>
        <rFont val="Arial"/>
        <family val="0"/>
        <charset val="1"/>
      </rPr>
      <t xml:space="preserve">)</t>
    </r>
  </si>
  <si>
    <t xml:space="preserve">カード年会費</t>
  </si>
  <si>
    <r>
      <rPr>
        <sz val="10"/>
        <rFont val="Arial"/>
        <family val="0"/>
        <charset val="1"/>
      </rPr>
      <t xml:space="preserve">ANA VISA</t>
    </r>
    <r>
      <rPr>
        <sz val="10"/>
        <rFont val="WenQuanYi Zen Hei"/>
        <family val="2"/>
      </rPr>
      <t xml:space="preserve">プラチナ</t>
    </r>
    <r>
      <rPr>
        <sz val="10"/>
        <rFont val="Arial"/>
        <family val="0"/>
        <charset val="1"/>
      </rPr>
      <t xml:space="preserve">96,800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年。マイル・還元価値と利用実態を照らし、ゴールド等へのダウングレード検討</t>
    </r>
  </si>
  <si>
    <r>
      <rPr>
        <sz val="10"/>
        <rFont val="WenQuanYi Zen Hei"/>
        <family val="2"/>
      </rPr>
      <t xml:space="preserve">セリック不動産投資道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バランス大家サロン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クラブジャイアンサロン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楽待プレミアム</t>
    </r>
  </si>
  <si>
    <t xml:space="preserve">サロン・情報費合算</t>
  </si>
  <si>
    <r>
      <rPr>
        <sz val="10"/>
        <rFont val="WenQuanYi Zen Hei"/>
        <family val="2"/>
      </rPr>
      <t xml:space="preserve">月合計約</t>
    </r>
    <r>
      <rPr>
        <sz val="10"/>
        <rFont val="Arial"/>
        <family val="0"/>
        <charset val="1"/>
      </rPr>
      <t xml:space="preserve">52,000</t>
    </r>
    <r>
      <rPr>
        <sz val="10"/>
        <rFont val="WenQuanYi Zen Hei"/>
        <family val="2"/>
      </rPr>
      <t xml:space="preserve">円 → 実際に収益に繋がっているもの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つ程度に絞ると月▲</t>
    </r>
    <r>
      <rPr>
        <sz val="10"/>
        <rFont val="Arial"/>
        <family val="0"/>
        <charset val="1"/>
      </rPr>
      <t xml:space="preserve">2.5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万円</t>
    </r>
  </si>
  <si>
    <r>
      <rPr>
        <sz val="10"/>
        <rFont val="WenQuanYi Zen Hei"/>
        <family val="2"/>
      </rPr>
      <t xml:space="preserve">※ 月平均は対象期間を約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ヶ月として単純計算。</t>
    </r>
  </si>
  <si>
    <r>
      <rPr>
        <b val="true"/>
        <sz val="14"/>
        <rFont val="WenQuanYi Zen Hei"/>
        <family val="2"/>
      </rPr>
      <t xml:space="preserve">経費削減提案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優先度順</t>
    </r>
    <r>
      <rPr>
        <b val="true"/>
        <sz val="14"/>
        <rFont val="Arial"/>
        <family val="0"/>
        <charset val="1"/>
      </rPr>
      <t xml:space="preserve">)— </t>
    </r>
    <r>
      <rPr>
        <b val="true"/>
        <sz val="14"/>
        <rFont val="WenQuanYi Zen Hei"/>
        <family val="2"/>
      </rPr>
      <t xml:space="preserve">試算はすべて全明細シートの実績に基づく概算</t>
    </r>
  </si>
  <si>
    <t xml:space="preserve">優先度</t>
  </si>
  <si>
    <t xml:space="preserve">施策</t>
  </si>
  <si>
    <r>
      <rPr>
        <b val="true"/>
        <sz val="10"/>
        <color rgb="FFFFFFFF"/>
        <rFont val="WenQuanYi Zen Hei"/>
        <family val="2"/>
      </rPr>
      <t xml:space="preserve">現状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実績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</si>
  <si>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提案内容</t>
  </si>
  <si>
    <r>
      <rPr>
        <b val="true"/>
        <sz val="10"/>
        <color rgb="FFFFFFFF"/>
        <rFont val="WenQuanYi Zen Hei"/>
        <family val="2"/>
      </rPr>
      <t xml:space="preserve">削減見込み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</si>
  <si>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削減見込み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</si>
  <si>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★★★</t>
  </si>
  <si>
    <r>
      <rPr>
        <b val="true"/>
        <sz val="10"/>
        <rFont val="Arial"/>
        <family val="0"/>
        <charset val="1"/>
      </rPr>
      <t xml:space="preserve">MLT(0570-666-020)</t>
    </r>
    <r>
      <rPr>
        <b val="true"/>
        <sz val="10"/>
        <rFont val="WenQuanYi Zen Hei"/>
        <family val="2"/>
      </rPr>
      <t xml:space="preserve">への月額</t>
    </r>
    <r>
      <rPr>
        <b val="true"/>
        <sz val="10"/>
        <rFont val="Arial"/>
        <family val="0"/>
        <charset val="1"/>
      </rPr>
      <t xml:space="preserve">55,000</t>
    </r>
    <r>
      <rPr>
        <b val="true"/>
        <sz val="10"/>
        <rFont val="WenQuanYi Zen Hei"/>
        <family val="2"/>
      </rPr>
      <t xml:space="preserve">円の解明</t>
    </r>
  </si>
  <si>
    <r>
      <rPr>
        <sz val="10"/>
        <rFont val="WenQuanYi Zen Hei"/>
        <family val="2"/>
      </rPr>
      <t xml:space="preserve">毎月</t>
    </r>
    <r>
      <rPr>
        <sz val="10"/>
        <rFont val="Arial"/>
        <family val="0"/>
        <charset val="1"/>
      </rPr>
      <t xml:space="preserve">55,000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×8</t>
    </r>
    <r>
      <rPr>
        <sz val="10"/>
        <rFont val="WenQuanYi Zen Hei"/>
        <family val="2"/>
      </rPr>
      <t xml:space="preserve">回</t>
    </r>
    <r>
      <rPr>
        <sz val="10"/>
        <rFont val="Arial"/>
        <family val="0"/>
        <charset val="1"/>
      </rPr>
      <t xml:space="preserve">+3,000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=443,000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内容不明</t>
    </r>
    <r>
      <rPr>
        <sz val="10"/>
        <rFont val="Arial"/>
        <family val="0"/>
        <charset val="1"/>
      </rPr>
      <t xml:space="preserve">)</t>
    </r>
  </si>
  <si>
    <t xml:space="preserve">請求元へ電話確認し、不要契約なら即解約。身に覚えがなければカード会社へ調査依頼</t>
  </si>
  <si>
    <r>
      <rPr>
        <b val="true"/>
        <sz val="10"/>
        <rFont val="WenQuanYi Zen Hei"/>
        <family val="2"/>
      </rPr>
      <t xml:space="preserve">電話代行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アフターコールナビ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の見直し</t>
    </r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</si>
  <si>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86,495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155,909</t>
    </r>
    <r>
      <rPr>
        <sz val="10"/>
        <rFont val="WenQuanYi Zen Hei"/>
        <family val="2"/>
      </rPr>
      <t xml:space="preserve">円・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ヶ月で約</t>
    </r>
    <r>
      <rPr>
        <sz val="10"/>
        <rFont val="Arial"/>
        <family val="0"/>
        <charset val="1"/>
      </rPr>
      <t xml:space="preserve">108</t>
    </r>
    <r>
      <rPr>
        <sz val="10"/>
        <rFont val="WenQuanYi Zen Hei"/>
        <family val="2"/>
      </rPr>
      <t xml:space="preserve">万円</t>
    </r>
  </si>
  <si>
    <r>
      <rPr>
        <sz val="10"/>
        <rFont val="WenQuanYi Zen Hei"/>
        <family val="2"/>
      </rPr>
      <t xml:space="preserve">従量プランの単価・コール数を精査。</t>
    </r>
    <r>
      <rPr>
        <sz val="10"/>
        <rFont val="Arial"/>
        <family val="0"/>
        <charset val="1"/>
      </rPr>
      <t xml:space="preserve">fondesk(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万円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等への切替、営業時間外のみ利用などで圧縮</t>
    </r>
  </si>
  <si>
    <r>
      <rPr>
        <b val="true"/>
        <sz val="10"/>
        <rFont val="WenQuanYi Zen Hei"/>
        <family val="2"/>
      </rPr>
      <t xml:space="preserve">月額レンタカー</t>
    </r>
    <r>
      <rPr>
        <b val="true"/>
        <sz val="10"/>
        <rFont val="Arial"/>
        <family val="0"/>
        <charset val="1"/>
      </rPr>
      <t xml:space="preserve">(MONTHLY GO)</t>
    </r>
    <r>
      <rPr>
        <b val="true"/>
        <sz val="10"/>
        <rFont val="WenQuanYi Zen Hei"/>
        <family val="2"/>
      </rPr>
      <t xml:space="preserve">の代替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</si>
  <si>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293,480</t>
    </r>
    <r>
      <rPr>
        <sz val="10"/>
        <rFont val="WenQuanYi Zen Hei"/>
        <family val="2"/>
      </rPr>
      <t xml:space="preserve">円・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277,200</t>
    </r>
    <r>
      <rPr>
        <sz val="10"/>
        <rFont val="WenQuanYi Zen Hei"/>
        <family val="2"/>
      </rPr>
      <t xml:space="preserve">円</t>
    </r>
  </si>
  <si>
    <r>
      <rPr>
        <sz val="10"/>
        <rFont val="WenQuanYi Zen Hei"/>
        <family val="2"/>
      </rPr>
      <t xml:space="preserve">利用日数を集計し、カーシェア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短期レンタル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リース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万円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と比較。</t>
    </r>
    <r>
      <rPr>
        <sz val="10"/>
        <rFont val="Arial"/>
        <family val="0"/>
        <charset val="1"/>
      </rPr>
      <t xml:space="preserve">ETC</t>
    </r>
    <r>
      <rPr>
        <sz val="10"/>
        <rFont val="WenQuanYi Zen Hei"/>
        <family val="2"/>
      </rPr>
      <t xml:space="preserve">・ガソリン・駐車場込みで車両費は期間合計約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万円</t>
    </r>
  </si>
  <si>
    <t xml:space="preserve">★★</t>
  </si>
  <si>
    <t xml:space="preserve">不動産系サロン・情報費の絞り込み</t>
  </si>
  <si>
    <r>
      <rPr>
        <sz val="10"/>
        <rFont val="WenQuanYi Zen Hei"/>
        <family val="2"/>
      </rPr>
      <t xml:space="preserve">バランス大家</t>
    </r>
    <r>
      <rPr>
        <sz val="10"/>
        <rFont val="Arial"/>
        <family val="0"/>
        <charset val="1"/>
      </rPr>
      <t xml:space="preserve">22,000+</t>
    </r>
    <r>
      <rPr>
        <sz val="10"/>
        <rFont val="WenQuanYi Zen Hei"/>
        <family val="2"/>
      </rPr>
      <t xml:space="preserve">ジャイアン</t>
    </r>
    <r>
      <rPr>
        <sz val="10"/>
        <rFont val="Arial"/>
        <family val="0"/>
        <charset val="1"/>
      </rPr>
      <t xml:space="preserve">16,500+</t>
    </r>
    <r>
      <rPr>
        <sz val="10"/>
        <rFont val="WenQuanYi Zen Hei"/>
        <family val="2"/>
      </rPr>
      <t xml:space="preserve">セリック</t>
    </r>
    <r>
      <rPr>
        <sz val="10"/>
        <rFont val="Arial"/>
        <family val="0"/>
        <charset val="1"/>
      </rPr>
      <t xml:space="preserve">10,780+</t>
    </r>
    <r>
      <rPr>
        <sz val="10"/>
        <rFont val="WenQuanYi Zen Hei"/>
        <family val="2"/>
      </rPr>
      <t xml:space="preserve">楽待</t>
    </r>
    <r>
      <rPr>
        <sz val="10"/>
        <rFont val="Arial"/>
        <family val="0"/>
        <charset val="1"/>
      </rPr>
      <t xml:space="preserve">3,300=</t>
    </r>
    <r>
      <rPr>
        <sz val="10"/>
        <rFont val="WenQuanYi Zen Hei"/>
        <family val="2"/>
      </rPr>
      <t xml:space="preserve">月約</t>
    </r>
    <r>
      <rPr>
        <sz val="10"/>
        <rFont val="Arial"/>
        <family val="0"/>
        <charset val="1"/>
      </rPr>
      <t xml:space="preserve">52,600</t>
    </r>
    <r>
      <rPr>
        <sz val="10"/>
        <rFont val="WenQuanYi Zen Hei"/>
        <family val="2"/>
      </rPr>
      <t xml:space="preserve">円</t>
    </r>
  </si>
  <si>
    <r>
      <rPr>
        <sz val="10"/>
        <rFont val="WenQuanYi Zen Hei"/>
        <family val="2"/>
      </rPr>
      <t xml:space="preserve">収益貢献が明確な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件に絞る</t>
    </r>
  </si>
  <si>
    <r>
      <rPr>
        <b val="true"/>
        <sz val="10"/>
        <rFont val="Arial"/>
        <family val="0"/>
        <charset val="1"/>
      </rPr>
      <t xml:space="preserve">AI</t>
    </r>
    <r>
      <rPr>
        <b val="true"/>
        <sz val="10"/>
        <rFont val="WenQuanYi Zen Hei"/>
        <family val="2"/>
      </rPr>
      <t xml:space="preserve">サブスクの一本化</t>
    </r>
  </si>
  <si>
    <r>
      <rPr>
        <sz val="10"/>
        <rFont val="Arial"/>
        <family val="0"/>
        <charset val="1"/>
      </rPr>
      <t xml:space="preserve">Claude USD22+USD49.5+USD220</t>
    </r>
    <r>
      <rPr>
        <sz val="10"/>
        <rFont val="WenQuanYi Zen Hei"/>
        <family val="2"/>
      </rPr>
      <t xml:space="preserve">が併走した月あり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月最大約</t>
    </r>
    <r>
      <rPr>
        <sz val="10"/>
        <rFont val="Arial"/>
        <family val="0"/>
        <charset val="1"/>
      </rPr>
      <t xml:space="preserve">4.7</t>
    </r>
    <r>
      <rPr>
        <sz val="10"/>
        <rFont val="WenQuanYi Zen Hei"/>
        <family val="2"/>
      </rPr>
      <t xml:space="preserve">万円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</si>
  <si>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Max</t>
    </r>
    <r>
      <rPr>
        <sz val="10"/>
        <rFont val="WenQuanYi Zen Hei"/>
        <family val="2"/>
      </rPr>
      <t xml:space="preserve">プラン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本に統合し重複分を解約。年払い割引も検討</t>
    </r>
  </si>
  <si>
    <t xml:space="preserve">経理代行とスポット外注の整理</t>
  </si>
  <si>
    <r>
      <rPr>
        <sz val="10"/>
        <rFont val="WenQuanYi Zen Hei"/>
        <family val="2"/>
      </rPr>
      <t xml:space="preserve">経理代行</t>
    </r>
    <r>
      <rPr>
        <sz val="10"/>
        <rFont val="Arial"/>
        <family val="0"/>
        <charset val="1"/>
      </rPr>
      <t xml:space="preserve">27,500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クラウドワークス月平均約</t>
    </r>
    <r>
      <rPr>
        <sz val="10"/>
        <rFont val="Arial"/>
        <family val="0"/>
        <charset val="1"/>
      </rPr>
      <t xml:space="preserve">3.7</t>
    </r>
    <r>
      <rPr>
        <sz val="10"/>
        <rFont val="WenQuanYi Zen Hei"/>
        <family val="2"/>
      </rPr>
      <t xml:space="preserve">万円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ココナラ計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万円</t>
    </r>
  </si>
  <si>
    <r>
      <rPr>
        <sz val="10"/>
        <rFont val="WenQuanYi Zen Hei"/>
        <family val="2"/>
      </rPr>
      <t xml:space="preserve">弥生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74,470</t>
    </r>
    <r>
      <rPr>
        <sz val="10"/>
        <rFont val="WenQuanYi Zen Hei"/>
        <family val="2"/>
      </rPr>
      <t xml:space="preserve">円契約済み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の自動仕訳を活用し記帳代行の範囲縮小。外注は発注単価の相見積を徹底</t>
    </r>
  </si>
  <si>
    <t xml:space="preserve">通信回線の統合</t>
  </si>
  <si>
    <r>
      <rPr>
        <sz val="10"/>
        <rFont val="Arial"/>
        <family val="0"/>
        <charset val="1"/>
      </rPr>
      <t xml:space="preserve">SoftBank5</t>
    </r>
    <r>
      <rPr>
        <sz val="10"/>
        <rFont val="WenQuanYi Zen Hei"/>
        <family val="2"/>
      </rPr>
      <t xml:space="preserve">回線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約</t>
    </r>
    <r>
      <rPr>
        <sz val="10"/>
        <rFont val="Arial"/>
        <family val="0"/>
        <charset val="1"/>
      </rPr>
      <t xml:space="preserve">12,000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)+</t>
    </r>
    <r>
      <rPr>
        <sz val="10"/>
        <rFont val="WenQuanYi Zen Hei"/>
        <family val="2"/>
      </rPr>
      <t xml:space="preserve">ドコモ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約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万円</t>
    </r>
    <r>
      <rPr>
        <sz val="10"/>
        <rFont val="Arial"/>
        <family val="0"/>
        <charset val="1"/>
      </rPr>
      <t xml:space="preserve">)+GMO(5,120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)+03Plus(</t>
    </r>
    <r>
      <rPr>
        <sz val="10"/>
        <rFont val="WenQuanYi Zen Hei"/>
        <family val="2"/>
      </rPr>
      <t xml:space="preserve">約</t>
    </r>
    <r>
      <rPr>
        <sz val="10"/>
        <rFont val="Arial"/>
        <family val="0"/>
        <charset val="1"/>
      </rPr>
      <t xml:space="preserve">3,800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)=</t>
    </r>
    <r>
      <rPr>
        <sz val="10"/>
        <rFont val="WenQuanYi Zen Hei"/>
        <family val="2"/>
      </rPr>
      <t xml:space="preserve">月約</t>
    </r>
    <r>
      <rPr>
        <sz val="10"/>
        <rFont val="Arial"/>
        <family val="0"/>
        <charset val="1"/>
      </rPr>
      <t xml:space="preserve">3.1</t>
    </r>
    <r>
      <rPr>
        <sz val="10"/>
        <rFont val="WenQuanYi Zen Hei"/>
        <family val="2"/>
      </rPr>
      <t xml:space="preserve">万円</t>
    </r>
  </si>
  <si>
    <r>
      <rPr>
        <sz val="10"/>
        <rFont val="WenQuanYi Zen Hei"/>
        <family val="2"/>
      </rPr>
      <t xml:space="preserve">回線棚卸しで未使用回線解約、法人まとめプランへ。</t>
    </r>
    <r>
      <rPr>
        <sz val="10"/>
        <rFont val="Arial"/>
        <family val="0"/>
        <charset val="1"/>
      </rPr>
      <t xml:space="preserve">GMO</t>
    </r>
    <r>
      <rPr>
        <sz val="10"/>
        <rFont val="WenQuanYi Zen Hei"/>
        <family val="2"/>
      </rPr>
      <t xml:space="preserve">は光回線と重複していないか確認</t>
    </r>
  </si>
  <si>
    <t xml:space="preserve">★</t>
  </si>
  <si>
    <t xml:space="preserve">小口サブスクの棚卸し</t>
  </si>
  <si>
    <r>
      <rPr>
        <sz val="10"/>
        <rFont val="Arial"/>
        <family val="0"/>
        <charset val="1"/>
      </rPr>
      <t xml:space="preserve">Adobe4,980+Google One2,900+YouTube1,280+McAfee(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12,980)+MD5,478×2+GO</t>
    </r>
    <r>
      <rPr>
        <sz val="10"/>
        <rFont val="WenQuanYi Zen Hei"/>
        <family val="2"/>
      </rPr>
      <t xml:space="preserve">プレミアム</t>
    </r>
    <r>
      <rPr>
        <sz val="10"/>
        <rFont val="Arial"/>
        <family val="0"/>
        <charset val="1"/>
      </rPr>
      <t xml:space="preserve">2,500+Apple</t>
    </r>
    <r>
      <rPr>
        <sz val="10"/>
        <rFont val="WenQuanYi Zen Hei"/>
        <family val="2"/>
      </rPr>
      <t xml:space="preserve">課金 月平均約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万円</t>
    </r>
  </si>
  <si>
    <r>
      <rPr>
        <sz val="10"/>
        <rFont val="WenQuanYi Zen Hei"/>
        <family val="2"/>
      </rPr>
      <t xml:space="preserve">使っていないものを解約。</t>
    </r>
    <r>
      <rPr>
        <sz val="10"/>
        <rFont val="Arial"/>
        <family val="0"/>
        <charset val="1"/>
      </rPr>
      <t xml:space="preserve">Adobe</t>
    </r>
    <r>
      <rPr>
        <sz val="10"/>
        <rFont val="WenQuanYi Zen Hei"/>
        <family val="2"/>
      </rPr>
      <t xml:space="preserve">は単体プラン</t>
    </r>
    <r>
      <rPr>
        <sz val="10"/>
        <rFont val="Arial"/>
        <family val="0"/>
        <charset val="1"/>
      </rPr>
      <t xml:space="preserve">/Photoshop</t>
    </r>
    <r>
      <rPr>
        <sz val="10"/>
        <rFont val="WenQuanYi Zen Hei"/>
        <family val="2"/>
      </rPr>
      <t xml:space="preserve">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3,280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へ変更検討</t>
    </r>
  </si>
  <si>
    <t xml:space="preserve">カード年会費の見直し</t>
  </si>
  <si>
    <r>
      <rPr>
        <sz val="10"/>
        <rFont val="Arial"/>
        <family val="0"/>
        <charset val="1"/>
      </rPr>
      <t xml:space="preserve">ANA VISA</t>
    </r>
    <r>
      <rPr>
        <sz val="10"/>
        <rFont val="WenQuanYi Zen Hei"/>
        <family val="2"/>
      </rPr>
      <t xml:space="preserve">プラチナ</t>
    </r>
    <r>
      <rPr>
        <sz val="10"/>
        <rFont val="Arial"/>
        <family val="0"/>
        <charset val="1"/>
      </rPr>
      <t xml:space="preserve">96,800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+Marriott AMEX(</t>
    </r>
    <r>
      <rPr>
        <sz val="10"/>
        <rFont val="WenQuanYi Zen Hei"/>
        <family val="2"/>
      </rPr>
      <t xml:space="preserve">約</t>
    </r>
    <r>
      <rPr>
        <sz val="10"/>
        <rFont val="Arial"/>
        <family val="0"/>
        <charset val="1"/>
      </rPr>
      <t xml:space="preserve">49,500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</si>
  <si>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マイル・ポイント還元額と年会費を比較。片方をゴールド以下へ変更で年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万円削減</t>
    </r>
  </si>
  <si>
    <t xml:space="preserve">飲食費の経費区分の明確化</t>
  </si>
  <si>
    <r>
      <rPr>
        <sz val="10"/>
        <rFont val="WenQuanYi Zen Hei"/>
        <family val="2"/>
      </rPr>
      <t xml:space="preserve">飲食費は期間合計約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万円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鷹丸鮮魚店ほぼ毎日</t>
    </r>
    <r>
      <rPr>
        <sz val="10"/>
        <rFont val="Arial"/>
        <family val="0"/>
        <charset val="1"/>
      </rPr>
      <t xml:space="preserve">1,380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1,980</t>
    </r>
    <r>
      <rPr>
        <sz val="10"/>
        <rFont val="WenQuanYi Zen Hei"/>
        <family val="2"/>
      </rPr>
      <t xml:space="preserve">円、えごたいえ等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</si>
  <si>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事業関連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会議・接待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と私的飲食を分け、私的分は事業主貸へ。税務リスク低減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実質支出の見える化</t>
    </r>
  </si>
  <si>
    <t xml:space="preserve">税金カード納付の手数料検証</t>
  </si>
  <si>
    <r>
      <rPr>
        <sz val="10"/>
        <rFont val="Arial"/>
        <family val="0"/>
        <charset val="1"/>
      </rPr>
      <t xml:space="preserve">eLTAX</t>
    </r>
    <r>
      <rPr>
        <sz val="10"/>
        <rFont val="WenQuanYi Zen Hei"/>
        <family val="2"/>
      </rPr>
      <t xml:space="preserve">システム利用料 計</t>
    </r>
    <r>
      <rPr>
        <sz val="10"/>
        <rFont val="Arial"/>
        <family val="0"/>
        <charset val="1"/>
      </rPr>
      <t xml:space="preserve">44,254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手数料率約</t>
    </r>
    <r>
      <rPr>
        <sz val="10"/>
        <rFont val="Arial"/>
        <family val="0"/>
        <charset val="1"/>
      </rPr>
      <t xml:space="preserve">0.8%)</t>
    </r>
  </si>
  <si>
    <r>
      <rPr>
        <sz val="10"/>
        <rFont val="WenQuanYi Zen Hei"/>
        <family val="2"/>
      </rPr>
      <t xml:space="preserve">カード還元率が手数料率を上回るか確認。下回る場合はダイレクト納付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手数料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へ</t>
    </r>
  </si>
  <si>
    <t xml:space="preserve">-</t>
  </si>
  <si>
    <t xml:space="preserve">新幹線・出張費</t>
  </si>
  <si>
    <r>
      <rPr>
        <sz val="10"/>
        <rFont val="WenQuanYi Zen Hei"/>
        <family val="2"/>
      </rPr>
      <t xml:space="preserve">エクスプレス予約 期間合計約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万円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名古屋方面ほぼ毎週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</si>
  <si>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EX</t>
    </r>
    <r>
      <rPr>
        <sz val="10"/>
        <rFont val="WenQuanYi Zen Hei"/>
        <family val="2"/>
      </rPr>
      <t xml:space="preserve">予約は既に割安。出張頻度そのものの見直しやオンライン商談併用で更に圧縮可</t>
    </r>
  </si>
  <si>
    <t xml:space="preserve">削減見込み合計</t>
  </si>
  <si>
    <r>
      <rPr>
        <sz val="10"/>
        <rFont val="WenQuanYi Zen Hei"/>
        <family val="2"/>
      </rPr>
      <t xml:space="preserve">※ 削減見込みは実績に基づく概算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青字</t>
    </r>
    <r>
      <rPr>
        <sz val="10"/>
        <rFont val="Arial"/>
        <family val="0"/>
        <charset val="1"/>
      </rPr>
      <t xml:space="preserve">=</t>
    </r>
    <r>
      <rPr>
        <sz val="10"/>
        <rFont val="WenQuanYi Zen Hei"/>
        <family val="2"/>
      </rPr>
      <t xml:space="preserve">入力値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。実行前に各契約内容をご確認ください。</t>
    </r>
  </si>
  <si>
    <r>
      <rPr>
        <sz val="10"/>
        <rFont val="WenQuanYi Zen Hei"/>
        <family val="2"/>
      </rPr>
      <t xml:space="preserve">※ 租税公課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税金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は削減対象外として提案から除外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期間合計は科目別集計シート参照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</si>
</sst>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#,##0;[RED]\-#,##0"/>
    <numFmt numFmtId="167" formatCode="0.0%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4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n">
        <v>45958</v>
      </c>
      <c r="D2" s="2" t="str">
        <f aca="false">TEXT(C2,"YYYY-MM")</f>
        <v>2025-10</v>
      </c>
      <c r="E2" s="4" t="s">
        <v>10</v>
      </c>
      <c r="F2" s="4" t="s">
        <v>11</v>
      </c>
      <c r="G2" s="5" t="n">
        <v>2408</v>
      </c>
      <c r="H2" s="2"/>
    </row>
    <row r="3" customFormat="false" ht="15" hidden="false" customHeight="false" outlineLevel="0" collapsed="false">
      <c r="A3" s="2" t="s">
        <v>8</v>
      </c>
      <c r="B3" s="2" t="s">
        <v>9</v>
      </c>
      <c r="C3" s="3" t="n">
        <v>45961</v>
      </c>
      <c r="D3" s="2" t="str">
        <f aca="false">TEXT(C3,"YYYY-MM")</f>
        <v>2025-10</v>
      </c>
      <c r="E3" s="2" t="s">
        <v>12</v>
      </c>
      <c r="F3" s="4" t="s">
        <v>13</v>
      </c>
      <c r="G3" s="5" t="n">
        <v>2000</v>
      </c>
      <c r="H3" s="2"/>
    </row>
    <row r="4" customFormat="false" ht="15" hidden="false" customHeight="false" outlineLevel="0" collapsed="false">
      <c r="A4" s="2" t="s">
        <v>8</v>
      </c>
      <c r="B4" s="2" t="s">
        <v>9</v>
      </c>
      <c r="C4" s="3" t="n">
        <v>45961</v>
      </c>
      <c r="D4" s="2" t="str">
        <f aca="false">TEXT(C4,"YYYY-MM")</f>
        <v>2025-10</v>
      </c>
      <c r="E4" s="2" t="s">
        <v>12</v>
      </c>
      <c r="F4" s="4" t="s">
        <v>13</v>
      </c>
      <c r="G4" s="5" t="n">
        <v>2700</v>
      </c>
      <c r="H4" s="2"/>
    </row>
    <row r="5" customFormat="false" ht="15" hidden="false" customHeight="false" outlineLevel="0" collapsed="false">
      <c r="A5" s="2" t="s">
        <v>8</v>
      </c>
      <c r="B5" s="2" t="s">
        <v>9</v>
      </c>
      <c r="C5" s="3" t="n">
        <v>45961</v>
      </c>
      <c r="D5" s="2" t="str">
        <f aca="false">TEXT(C5,"YYYY-MM")</f>
        <v>2025-10</v>
      </c>
      <c r="E5" s="4" t="s">
        <v>14</v>
      </c>
      <c r="F5" s="4" t="s">
        <v>15</v>
      </c>
      <c r="G5" s="5" t="n">
        <v>4392</v>
      </c>
      <c r="H5" s="2"/>
    </row>
    <row r="6" customFormat="false" ht="15" hidden="false" customHeight="false" outlineLevel="0" collapsed="false">
      <c r="A6" s="2" t="s">
        <v>8</v>
      </c>
      <c r="B6" s="2" t="s">
        <v>9</v>
      </c>
      <c r="C6" s="3" t="n">
        <v>45961</v>
      </c>
      <c r="D6" s="2" t="str">
        <f aca="false">TEXT(C6,"YYYY-MM")</f>
        <v>2025-10</v>
      </c>
      <c r="E6" s="4" t="s">
        <v>14</v>
      </c>
      <c r="F6" s="4" t="s">
        <v>15</v>
      </c>
      <c r="G6" s="5" t="n">
        <v>1617</v>
      </c>
      <c r="H6" s="2"/>
    </row>
    <row r="7" customFormat="false" ht="15" hidden="false" customHeight="false" outlineLevel="0" collapsed="false">
      <c r="A7" s="2" t="s">
        <v>8</v>
      </c>
      <c r="B7" s="2" t="s">
        <v>9</v>
      </c>
      <c r="C7" s="3" t="n">
        <v>45961</v>
      </c>
      <c r="D7" s="2" t="str">
        <f aca="false">TEXT(C7,"YYYY-MM")</f>
        <v>2025-10</v>
      </c>
      <c r="E7" s="4" t="s">
        <v>14</v>
      </c>
      <c r="F7" s="4" t="s">
        <v>15</v>
      </c>
      <c r="G7" s="5" t="n">
        <v>1764</v>
      </c>
      <c r="H7" s="2"/>
    </row>
    <row r="8" customFormat="false" ht="15" hidden="false" customHeight="false" outlineLevel="0" collapsed="false">
      <c r="A8" s="2" t="s">
        <v>8</v>
      </c>
      <c r="B8" s="2" t="s">
        <v>9</v>
      </c>
      <c r="C8" s="3" t="n">
        <v>45961</v>
      </c>
      <c r="D8" s="2" t="str">
        <f aca="false">TEXT(C8,"YYYY-MM")</f>
        <v>2025-10</v>
      </c>
      <c r="E8" s="4" t="s">
        <v>14</v>
      </c>
      <c r="F8" s="4" t="s">
        <v>15</v>
      </c>
      <c r="G8" s="5" t="n">
        <v>1544</v>
      </c>
      <c r="H8" s="2"/>
    </row>
    <row r="9" customFormat="false" ht="15" hidden="false" customHeight="false" outlineLevel="0" collapsed="false">
      <c r="A9" s="2" t="s">
        <v>8</v>
      </c>
      <c r="B9" s="2" t="s">
        <v>9</v>
      </c>
      <c r="C9" s="3" t="n">
        <v>45961</v>
      </c>
      <c r="D9" s="2" t="str">
        <f aca="false">TEXT(C9,"YYYY-MM")</f>
        <v>2025-10</v>
      </c>
      <c r="E9" s="4" t="s">
        <v>14</v>
      </c>
      <c r="F9" s="4" t="s">
        <v>15</v>
      </c>
      <c r="G9" s="5" t="n">
        <v>2852</v>
      </c>
      <c r="H9" s="2"/>
    </row>
    <row r="10" customFormat="false" ht="15" hidden="false" customHeight="false" outlineLevel="0" collapsed="false">
      <c r="A10" s="2" t="s">
        <v>8</v>
      </c>
      <c r="B10" s="2" t="s">
        <v>9</v>
      </c>
      <c r="C10" s="3" t="n">
        <v>45962</v>
      </c>
      <c r="D10" s="2" t="str">
        <f aca="false">TEXT(C10,"YYYY-MM")</f>
        <v>2025-11</v>
      </c>
      <c r="E10" s="4" t="s">
        <v>16</v>
      </c>
      <c r="F10" s="4" t="s">
        <v>17</v>
      </c>
      <c r="G10" s="5" t="n">
        <v>200</v>
      </c>
      <c r="H10" s="4" t="s">
        <v>18</v>
      </c>
    </row>
    <row r="11" customFormat="false" ht="15" hidden="false" customHeight="false" outlineLevel="0" collapsed="false">
      <c r="A11" s="2" t="s">
        <v>8</v>
      </c>
      <c r="B11" s="2" t="s">
        <v>9</v>
      </c>
      <c r="C11" s="3" t="n">
        <v>45962</v>
      </c>
      <c r="D11" s="2" t="str">
        <f aca="false">TEXT(C11,"YYYY-MM")</f>
        <v>2025-11</v>
      </c>
      <c r="E11" s="2" t="s">
        <v>19</v>
      </c>
      <c r="F11" s="4" t="s">
        <v>15</v>
      </c>
      <c r="G11" s="5" t="n">
        <v>5121</v>
      </c>
      <c r="H11" s="4" t="s">
        <v>20</v>
      </c>
    </row>
    <row r="12" customFormat="false" ht="15" hidden="false" customHeight="false" outlineLevel="0" collapsed="false">
      <c r="A12" s="2" t="s">
        <v>8</v>
      </c>
      <c r="B12" s="2" t="s">
        <v>9</v>
      </c>
      <c r="C12" s="3" t="n">
        <v>45962</v>
      </c>
      <c r="D12" s="2" t="str">
        <f aca="false">TEXT(C12,"YYYY-MM")</f>
        <v>2025-11</v>
      </c>
      <c r="E12" s="4" t="s">
        <v>21</v>
      </c>
      <c r="F12" s="4" t="s">
        <v>22</v>
      </c>
      <c r="G12" s="5" t="n">
        <v>13620</v>
      </c>
      <c r="H12" s="2"/>
    </row>
    <row r="13" customFormat="false" ht="15" hidden="false" customHeight="false" outlineLevel="0" collapsed="false">
      <c r="A13" s="2" t="s">
        <v>8</v>
      </c>
      <c r="B13" s="2" t="s">
        <v>9</v>
      </c>
      <c r="C13" s="3" t="n">
        <v>45962</v>
      </c>
      <c r="D13" s="2" t="str">
        <f aca="false">TEXT(C13,"YYYY-MM")</f>
        <v>2025-11</v>
      </c>
      <c r="E13" s="2" t="s">
        <v>23</v>
      </c>
      <c r="F13" s="4" t="s">
        <v>17</v>
      </c>
      <c r="G13" s="5" t="n">
        <v>270</v>
      </c>
      <c r="H13" s="2"/>
    </row>
    <row r="14" customFormat="false" ht="15" hidden="false" customHeight="false" outlineLevel="0" collapsed="false">
      <c r="A14" s="2" t="s">
        <v>8</v>
      </c>
      <c r="B14" s="2" t="s">
        <v>9</v>
      </c>
      <c r="C14" s="3" t="n">
        <v>45962</v>
      </c>
      <c r="D14" s="2" t="str">
        <f aca="false">TEXT(C14,"YYYY-MM")</f>
        <v>2025-11</v>
      </c>
      <c r="E14" s="2" t="s">
        <v>23</v>
      </c>
      <c r="F14" s="4" t="s">
        <v>17</v>
      </c>
      <c r="G14" s="5" t="n">
        <v>270</v>
      </c>
      <c r="H14" s="2"/>
    </row>
    <row r="15" customFormat="false" ht="15" hidden="false" customHeight="false" outlineLevel="0" collapsed="false">
      <c r="A15" s="2" t="s">
        <v>8</v>
      </c>
      <c r="B15" s="2" t="s">
        <v>9</v>
      </c>
      <c r="C15" s="3" t="n">
        <v>45962</v>
      </c>
      <c r="D15" s="2" t="str">
        <f aca="false">TEXT(C15,"YYYY-MM")</f>
        <v>2025-11</v>
      </c>
      <c r="E15" s="2" t="s">
        <v>24</v>
      </c>
      <c r="F15" s="4" t="s">
        <v>17</v>
      </c>
      <c r="G15" s="5" t="n">
        <v>840</v>
      </c>
      <c r="H15" s="2"/>
    </row>
    <row r="16" customFormat="false" ht="15" hidden="false" customHeight="false" outlineLevel="0" collapsed="false">
      <c r="A16" s="2" t="s">
        <v>8</v>
      </c>
      <c r="B16" s="2" t="s">
        <v>9</v>
      </c>
      <c r="C16" s="3" t="n">
        <v>45962</v>
      </c>
      <c r="D16" s="2" t="str">
        <f aca="false">TEXT(C16,"YYYY-MM")</f>
        <v>2025-11</v>
      </c>
      <c r="E16" s="2" t="s">
        <v>24</v>
      </c>
      <c r="F16" s="4" t="s">
        <v>17</v>
      </c>
      <c r="G16" s="5" t="n">
        <v>900</v>
      </c>
      <c r="H16" s="2"/>
    </row>
    <row r="17" customFormat="false" ht="15" hidden="false" customHeight="false" outlineLevel="0" collapsed="false">
      <c r="A17" s="2" t="s">
        <v>8</v>
      </c>
      <c r="B17" s="2" t="s">
        <v>9</v>
      </c>
      <c r="C17" s="3" t="n">
        <v>45963</v>
      </c>
      <c r="D17" s="2" t="str">
        <f aca="false">TEXT(C17,"YYYY-MM")</f>
        <v>2025-11</v>
      </c>
      <c r="E17" s="4" t="s">
        <v>25</v>
      </c>
      <c r="F17" s="4" t="s">
        <v>26</v>
      </c>
      <c r="G17" s="5" t="n">
        <v>1760</v>
      </c>
      <c r="H17" s="2"/>
    </row>
    <row r="18" customFormat="false" ht="15" hidden="false" customHeight="false" outlineLevel="0" collapsed="false">
      <c r="A18" s="2" t="s">
        <v>8</v>
      </c>
      <c r="B18" s="2" t="s">
        <v>9</v>
      </c>
      <c r="C18" s="3" t="n">
        <v>45963</v>
      </c>
      <c r="D18" s="2" t="str">
        <f aca="false">TEXT(C18,"YYYY-MM")</f>
        <v>2025-11</v>
      </c>
      <c r="E18" s="4" t="s">
        <v>27</v>
      </c>
      <c r="F18" s="4" t="s">
        <v>28</v>
      </c>
      <c r="G18" s="5" t="n">
        <v>6070</v>
      </c>
      <c r="H18" s="2"/>
    </row>
    <row r="19" customFormat="false" ht="15" hidden="false" customHeight="false" outlineLevel="0" collapsed="false">
      <c r="A19" s="2" t="s">
        <v>8</v>
      </c>
      <c r="B19" s="2" t="s">
        <v>9</v>
      </c>
      <c r="C19" s="3" t="n">
        <v>45963</v>
      </c>
      <c r="D19" s="2" t="str">
        <f aca="false">TEXT(C19,"YYYY-MM")</f>
        <v>2025-11</v>
      </c>
      <c r="E19" s="2" t="s">
        <v>29</v>
      </c>
      <c r="F19" s="4" t="s">
        <v>17</v>
      </c>
      <c r="G19" s="5" t="n">
        <v>7365</v>
      </c>
      <c r="H19" s="4" t="s">
        <v>30</v>
      </c>
    </row>
    <row r="20" customFormat="false" ht="15" hidden="false" customHeight="false" outlineLevel="0" collapsed="false">
      <c r="A20" s="2" t="s">
        <v>8</v>
      </c>
      <c r="B20" s="2" t="s">
        <v>9</v>
      </c>
      <c r="C20" s="3" t="n">
        <v>45963</v>
      </c>
      <c r="D20" s="2" t="str">
        <f aca="false">TEXT(C20,"YYYY-MM")</f>
        <v>2025-11</v>
      </c>
      <c r="E20" s="2" t="s">
        <v>24</v>
      </c>
      <c r="F20" s="4" t="s">
        <v>17</v>
      </c>
      <c r="G20" s="5" t="n">
        <v>660</v>
      </c>
      <c r="H20" s="2"/>
    </row>
    <row r="21" customFormat="false" ht="15" hidden="false" customHeight="false" outlineLevel="0" collapsed="false">
      <c r="A21" s="2" t="s">
        <v>8</v>
      </c>
      <c r="B21" s="2" t="s">
        <v>9</v>
      </c>
      <c r="C21" s="3" t="n">
        <v>45963</v>
      </c>
      <c r="D21" s="2" t="str">
        <f aca="false">TEXT(C21,"YYYY-MM")</f>
        <v>2025-11</v>
      </c>
      <c r="E21" s="2" t="s">
        <v>24</v>
      </c>
      <c r="F21" s="4" t="s">
        <v>17</v>
      </c>
      <c r="G21" s="5" t="n">
        <v>630</v>
      </c>
      <c r="H21" s="2"/>
    </row>
    <row r="22" customFormat="false" ht="15" hidden="false" customHeight="false" outlineLevel="0" collapsed="false">
      <c r="A22" s="2" t="s">
        <v>8</v>
      </c>
      <c r="B22" s="2" t="s">
        <v>9</v>
      </c>
      <c r="C22" s="3" t="n">
        <v>45964</v>
      </c>
      <c r="D22" s="2" t="str">
        <f aca="false">TEXT(C22,"YYYY-MM")</f>
        <v>2025-11</v>
      </c>
      <c r="E22" s="4" t="s">
        <v>31</v>
      </c>
      <c r="F22" s="4" t="s">
        <v>11</v>
      </c>
      <c r="G22" s="5" t="n">
        <v>4168</v>
      </c>
      <c r="H22" s="2"/>
    </row>
    <row r="23" customFormat="false" ht="15" hidden="false" customHeight="false" outlineLevel="0" collapsed="false">
      <c r="A23" s="2" t="s">
        <v>8</v>
      </c>
      <c r="B23" s="2" t="s">
        <v>9</v>
      </c>
      <c r="C23" s="3" t="n">
        <v>45964</v>
      </c>
      <c r="D23" s="2" t="str">
        <f aca="false">TEXT(C23,"YYYY-MM")</f>
        <v>2025-11</v>
      </c>
      <c r="E23" s="4" t="s">
        <v>32</v>
      </c>
      <c r="F23" s="4" t="s">
        <v>17</v>
      </c>
      <c r="G23" s="5" t="n">
        <v>200</v>
      </c>
      <c r="H23" s="4" t="s">
        <v>18</v>
      </c>
    </row>
    <row r="24" customFormat="false" ht="15" hidden="false" customHeight="false" outlineLevel="0" collapsed="false">
      <c r="A24" s="2" t="s">
        <v>8</v>
      </c>
      <c r="B24" s="2" t="s">
        <v>9</v>
      </c>
      <c r="C24" s="3" t="n">
        <v>45964</v>
      </c>
      <c r="D24" s="2" t="str">
        <f aca="false">TEXT(C24,"YYYY-MM")</f>
        <v>2025-11</v>
      </c>
      <c r="E24" s="4" t="s">
        <v>33</v>
      </c>
      <c r="F24" s="4" t="s">
        <v>17</v>
      </c>
      <c r="G24" s="5" t="n">
        <v>1100</v>
      </c>
      <c r="H24" s="4" t="s">
        <v>18</v>
      </c>
    </row>
    <row r="25" customFormat="false" ht="15" hidden="false" customHeight="false" outlineLevel="0" collapsed="false">
      <c r="A25" s="2" t="s">
        <v>8</v>
      </c>
      <c r="B25" s="2" t="s">
        <v>9</v>
      </c>
      <c r="C25" s="3" t="n">
        <v>45965</v>
      </c>
      <c r="D25" s="2" t="str">
        <f aca="false">TEXT(C25,"YYYY-MM")</f>
        <v>2025-11</v>
      </c>
      <c r="E25" s="2" t="s">
        <v>34</v>
      </c>
      <c r="F25" s="4" t="s">
        <v>35</v>
      </c>
      <c r="G25" s="5" t="n">
        <v>1500</v>
      </c>
      <c r="H25" s="2"/>
    </row>
    <row r="26" customFormat="false" ht="15" hidden="false" customHeight="false" outlineLevel="0" collapsed="false">
      <c r="A26" s="2" t="s">
        <v>8</v>
      </c>
      <c r="B26" s="2" t="s">
        <v>9</v>
      </c>
      <c r="C26" s="3" t="n">
        <v>45965</v>
      </c>
      <c r="D26" s="2" t="str">
        <f aca="false">TEXT(C26,"YYYY-MM")</f>
        <v>2025-11</v>
      </c>
      <c r="E26" s="4" t="s">
        <v>36</v>
      </c>
      <c r="F26" s="4" t="s">
        <v>37</v>
      </c>
      <c r="G26" s="5" t="n">
        <v>31023</v>
      </c>
      <c r="H26" s="2"/>
    </row>
    <row r="27" customFormat="false" ht="15" hidden="false" customHeight="false" outlineLevel="0" collapsed="false">
      <c r="A27" s="2" t="s">
        <v>8</v>
      </c>
      <c r="B27" s="2" t="s">
        <v>9</v>
      </c>
      <c r="C27" s="3" t="n">
        <v>45965</v>
      </c>
      <c r="D27" s="2" t="str">
        <f aca="false">TEXT(C27,"YYYY-MM")</f>
        <v>2025-11</v>
      </c>
      <c r="E27" s="4" t="s">
        <v>38</v>
      </c>
      <c r="F27" s="4" t="s">
        <v>22</v>
      </c>
      <c r="G27" s="5" t="n">
        <v>1380</v>
      </c>
      <c r="H27" s="2"/>
    </row>
    <row r="28" customFormat="false" ht="15" hidden="false" customHeight="false" outlineLevel="0" collapsed="false">
      <c r="A28" s="2" t="s">
        <v>8</v>
      </c>
      <c r="B28" s="2" t="s">
        <v>9</v>
      </c>
      <c r="C28" s="3" t="n">
        <v>45965</v>
      </c>
      <c r="D28" s="2" t="str">
        <f aca="false">TEXT(C28,"YYYY-MM")</f>
        <v>2025-11</v>
      </c>
      <c r="E28" s="4" t="s">
        <v>39</v>
      </c>
      <c r="F28" s="4" t="s">
        <v>37</v>
      </c>
      <c r="G28" s="5" t="n">
        <v>45600</v>
      </c>
      <c r="H28" s="2" t="s">
        <v>40</v>
      </c>
    </row>
    <row r="29" customFormat="false" ht="15" hidden="false" customHeight="false" outlineLevel="0" collapsed="false">
      <c r="A29" s="2" t="s">
        <v>8</v>
      </c>
      <c r="B29" s="2" t="s">
        <v>9</v>
      </c>
      <c r="C29" s="3" t="n">
        <v>45965</v>
      </c>
      <c r="D29" s="2" t="str">
        <f aca="false">TEXT(C29,"YYYY-MM")</f>
        <v>2025-11</v>
      </c>
      <c r="E29" s="4" t="s">
        <v>41</v>
      </c>
      <c r="F29" s="4" t="s">
        <v>22</v>
      </c>
      <c r="G29" s="5" t="n">
        <v>620</v>
      </c>
      <c r="H29" s="4" t="s">
        <v>42</v>
      </c>
    </row>
    <row r="30" customFormat="false" ht="15" hidden="false" customHeight="false" outlineLevel="0" collapsed="false">
      <c r="A30" s="2" t="s">
        <v>8</v>
      </c>
      <c r="B30" s="2" t="s">
        <v>9</v>
      </c>
      <c r="C30" s="3" t="n">
        <v>45966</v>
      </c>
      <c r="D30" s="2" t="str">
        <f aca="false">TEXT(C30,"YYYY-MM")</f>
        <v>2025-11</v>
      </c>
      <c r="E30" s="4" t="s">
        <v>43</v>
      </c>
      <c r="F30" s="4" t="s">
        <v>22</v>
      </c>
      <c r="G30" s="5" t="n">
        <v>4136</v>
      </c>
      <c r="H30" s="2"/>
    </row>
    <row r="31" customFormat="false" ht="15" hidden="false" customHeight="false" outlineLevel="0" collapsed="false">
      <c r="A31" s="2" t="s">
        <v>8</v>
      </c>
      <c r="B31" s="2" t="s">
        <v>9</v>
      </c>
      <c r="C31" s="3" t="n">
        <v>45966</v>
      </c>
      <c r="D31" s="2" t="str">
        <f aca="false">TEXT(C31,"YYYY-MM")</f>
        <v>2025-11</v>
      </c>
      <c r="E31" s="2" t="s">
        <v>44</v>
      </c>
      <c r="F31" s="4" t="s">
        <v>35</v>
      </c>
      <c r="G31" s="5" t="n">
        <v>2900</v>
      </c>
      <c r="H31" s="2"/>
    </row>
    <row r="32" customFormat="false" ht="15" hidden="false" customHeight="false" outlineLevel="0" collapsed="false">
      <c r="A32" s="2" t="s">
        <v>8</v>
      </c>
      <c r="B32" s="2" t="s">
        <v>9</v>
      </c>
      <c r="C32" s="3" t="n">
        <v>45966</v>
      </c>
      <c r="D32" s="2" t="str">
        <f aca="false">TEXT(C32,"YYYY-MM")</f>
        <v>2025-11</v>
      </c>
      <c r="E32" s="4" t="s">
        <v>45</v>
      </c>
      <c r="F32" s="4" t="s">
        <v>28</v>
      </c>
      <c r="G32" s="5" t="n">
        <v>9630</v>
      </c>
      <c r="H32" s="2"/>
    </row>
    <row r="33" customFormat="false" ht="15" hidden="false" customHeight="false" outlineLevel="0" collapsed="false">
      <c r="A33" s="2" t="s">
        <v>8</v>
      </c>
      <c r="B33" s="2" t="s">
        <v>9</v>
      </c>
      <c r="C33" s="3" t="n">
        <v>45966</v>
      </c>
      <c r="D33" s="2" t="str">
        <f aca="false">TEXT(C33,"YYYY-MM")</f>
        <v>2025-11</v>
      </c>
      <c r="E33" s="4" t="s">
        <v>46</v>
      </c>
      <c r="F33" s="4" t="s">
        <v>13</v>
      </c>
      <c r="G33" s="5" t="n">
        <v>21760</v>
      </c>
      <c r="H33" s="4" t="s">
        <v>47</v>
      </c>
    </row>
    <row r="34" customFormat="false" ht="15" hidden="false" customHeight="false" outlineLevel="0" collapsed="false">
      <c r="A34" s="2" t="s">
        <v>8</v>
      </c>
      <c r="B34" s="2" t="s">
        <v>9</v>
      </c>
      <c r="C34" s="3" t="n">
        <v>45966</v>
      </c>
      <c r="D34" s="2" t="str">
        <f aca="false">TEXT(C34,"YYYY-MM")</f>
        <v>2025-11</v>
      </c>
      <c r="E34" s="4" t="s">
        <v>46</v>
      </c>
      <c r="F34" s="4" t="s">
        <v>13</v>
      </c>
      <c r="G34" s="5" t="n">
        <v>21760</v>
      </c>
      <c r="H34" s="4" t="s">
        <v>47</v>
      </c>
    </row>
    <row r="35" customFormat="false" ht="15" hidden="false" customHeight="false" outlineLevel="0" collapsed="false">
      <c r="A35" s="2" t="s">
        <v>8</v>
      </c>
      <c r="B35" s="2" t="s">
        <v>9</v>
      </c>
      <c r="C35" s="3" t="n">
        <v>45966</v>
      </c>
      <c r="D35" s="2" t="str">
        <f aca="false">TEXT(C35,"YYYY-MM")</f>
        <v>2025-11</v>
      </c>
      <c r="E35" s="4" t="s">
        <v>48</v>
      </c>
      <c r="F35" s="4" t="s">
        <v>28</v>
      </c>
      <c r="G35" s="5" t="n">
        <v>1040</v>
      </c>
      <c r="H35" s="2"/>
    </row>
    <row r="36" customFormat="false" ht="15" hidden="false" customHeight="false" outlineLevel="0" collapsed="false">
      <c r="A36" s="2" t="s">
        <v>8</v>
      </c>
      <c r="B36" s="2" t="s">
        <v>9</v>
      </c>
      <c r="C36" s="3" t="n">
        <v>45967</v>
      </c>
      <c r="D36" s="2" t="str">
        <f aca="false">TEXT(C36,"YYYY-MM")</f>
        <v>2025-11</v>
      </c>
      <c r="E36" s="4" t="s">
        <v>38</v>
      </c>
      <c r="F36" s="4" t="s">
        <v>22</v>
      </c>
      <c r="G36" s="5" t="n">
        <v>1380</v>
      </c>
      <c r="H36" s="2"/>
    </row>
    <row r="37" customFormat="false" ht="15" hidden="false" customHeight="false" outlineLevel="0" collapsed="false">
      <c r="A37" s="2" t="s">
        <v>8</v>
      </c>
      <c r="B37" s="2" t="s">
        <v>9</v>
      </c>
      <c r="C37" s="3" t="n">
        <v>45968</v>
      </c>
      <c r="D37" s="2" t="str">
        <f aca="false">TEXT(C37,"YYYY-MM")</f>
        <v>2025-11</v>
      </c>
      <c r="E37" s="4" t="s">
        <v>38</v>
      </c>
      <c r="F37" s="4" t="s">
        <v>22</v>
      </c>
      <c r="G37" s="5" t="n">
        <v>1580</v>
      </c>
      <c r="H37" s="2"/>
    </row>
    <row r="38" customFormat="false" ht="15" hidden="false" customHeight="false" outlineLevel="0" collapsed="false">
      <c r="A38" s="2" t="s">
        <v>8</v>
      </c>
      <c r="B38" s="2" t="s">
        <v>9</v>
      </c>
      <c r="C38" s="3" t="n">
        <v>45968</v>
      </c>
      <c r="D38" s="2" t="str">
        <f aca="false">TEXT(C38,"YYYY-MM")</f>
        <v>2025-11</v>
      </c>
      <c r="E38" s="4" t="s">
        <v>49</v>
      </c>
      <c r="F38" s="4" t="s">
        <v>37</v>
      </c>
      <c r="G38" s="5" t="n">
        <v>9050</v>
      </c>
      <c r="H38" s="2"/>
    </row>
    <row r="39" customFormat="false" ht="15" hidden="false" customHeight="false" outlineLevel="0" collapsed="false">
      <c r="A39" s="2" t="s">
        <v>8</v>
      </c>
      <c r="B39" s="2" t="s">
        <v>9</v>
      </c>
      <c r="C39" s="3" t="n">
        <v>45969</v>
      </c>
      <c r="D39" s="2" t="str">
        <f aca="false">TEXT(C39,"YYYY-MM")</f>
        <v>2025-11</v>
      </c>
      <c r="E39" s="2" t="s">
        <v>50</v>
      </c>
      <c r="F39" s="4" t="s">
        <v>22</v>
      </c>
      <c r="G39" s="5" t="n">
        <v>1010</v>
      </c>
      <c r="H39" s="4" t="s">
        <v>42</v>
      </c>
    </row>
    <row r="40" customFormat="false" ht="15" hidden="false" customHeight="false" outlineLevel="0" collapsed="false">
      <c r="A40" s="2" t="s">
        <v>8</v>
      </c>
      <c r="B40" s="2" t="s">
        <v>9</v>
      </c>
      <c r="C40" s="3" t="n">
        <v>45969</v>
      </c>
      <c r="D40" s="2" t="str">
        <f aca="false">TEXT(C40,"YYYY-MM")</f>
        <v>2025-11</v>
      </c>
      <c r="E40" s="2" t="s">
        <v>51</v>
      </c>
      <c r="F40" s="4" t="s">
        <v>22</v>
      </c>
      <c r="G40" s="5" t="n">
        <v>1507</v>
      </c>
      <c r="H40" s="2"/>
    </row>
    <row r="41" customFormat="false" ht="15" hidden="false" customHeight="false" outlineLevel="0" collapsed="false">
      <c r="A41" s="2" t="s">
        <v>8</v>
      </c>
      <c r="B41" s="2" t="s">
        <v>9</v>
      </c>
      <c r="C41" s="3" t="n">
        <v>45969</v>
      </c>
      <c r="D41" s="2" t="str">
        <f aca="false">TEXT(C41,"YYYY-MM")</f>
        <v>2025-11</v>
      </c>
      <c r="E41" s="2" t="s">
        <v>12</v>
      </c>
      <c r="F41" s="4" t="s">
        <v>13</v>
      </c>
      <c r="G41" s="5" t="n">
        <v>2000</v>
      </c>
      <c r="H41" s="2"/>
    </row>
    <row r="42" customFormat="false" ht="15" hidden="false" customHeight="false" outlineLevel="0" collapsed="false">
      <c r="A42" s="2" t="s">
        <v>8</v>
      </c>
      <c r="B42" s="2" t="s">
        <v>9</v>
      </c>
      <c r="C42" s="3" t="n">
        <v>45970</v>
      </c>
      <c r="D42" s="2" t="str">
        <f aca="false">TEXT(C42,"YYYY-MM")</f>
        <v>2025-11</v>
      </c>
      <c r="E42" s="2" t="s">
        <v>52</v>
      </c>
      <c r="F42" s="4" t="s">
        <v>35</v>
      </c>
      <c r="G42" s="5" t="n">
        <v>1280</v>
      </c>
      <c r="H42" s="2"/>
    </row>
    <row r="43" customFormat="false" ht="15" hidden="false" customHeight="false" outlineLevel="0" collapsed="false">
      <c r="A43" s="2" t="s">
        <v>8</v>
      </c>
      <c r="B43" s="2" t="s">
        <v>9</v>
      </c>
      <c r="C43" s="3" t="n">
        <v>45971</v>
      </c>
      <c r="D43" s="2" t="str">
        <f aca="false">TEXT(C43,"YYYY-MM")</f>
        <v>2025-11</v>
      </c>
      <c r="E43" s="4" t="s">
        <v>38</v>
      </c>
      <c r="F43" s="4" t="s">
        <v>22</v>
      </c>
      <c r="G43" s="5" t="n">
        <v>1380</v>
      </c>
      <c r="H43" s="2"/>
    </row>
    <row r="44" customFormat="false" ht="15" hidden="false" customHeight="false" outlineLevel="0" collapsed="false">
      <c r="A44" s="2" t="s">
        <v>8</v>
      </c>
      <c r="B44" s="2" t="s">
        <v>9</v>
      </c>
      <c r="C44" s="3" t="n">
        <v>45972</v>
      </c>
      <c r="D44" s="2" t="str">
        <f aca="false">TEXT(C44,"YYYY-MM")</f>
        <v>2025-11</v>
      </c>
      <c r="E44" s="2" t="s">
        <v>53</v>
      </c>
      <c r="F44" s="4" t="s">
        <v>35</v>
      </c>
      <c r="G44" s="5" t="n">
        <v>12980</v>
      </c>
      <c r="H44" s="4" t="s">
        <v>54</v>
      </c>
    </row>
    <row r="45" customFormat="false" ht="15" hidden="false" customHeight="false" outlineLevel="0" collapsed="false">
      <c r="A45" s="2" t="s">
        <v>8</v>
      </c>
      <c r="B45" s="2" t="s">
        <v>9</v>
      </c>
      <c r="C45" s="3" t="n">
        <v>45972</v>
      </c>
      <c r="D45" s="2" t="str">
        <f aca="false">TEXT(C45,"YYYY-MM")</f>
        <v>2025-11</v>
      </c>
      <c r="E45" s="4" t="s">
        <v>55</v>
      </c>
      <c r="F45" s="4" t="s">
        <v>35</v>
      </c>
      <c r="G45" s="5" t="n">
        <v>218</v>
      </c>
      <c r="H45" s="2"/>
    </row>
    <row r="46" customFormat="false" ht="15" hidden="false" customHeight="false" outlineLevel="0" collapsed="false">
      <c r="A46" s="2" t="s">
        <v>8</v>
      </c>
      <c r="B46" s="2" t="s">
        <v>9</v>
      </c>
      <c r="C46" s="3" t="n">
        <v>45972</v>
      </c>
      <c r="D46" s="2" t="str">
        <f aca="false">TEXT(C46,"YYYY-MM")</f>
        <v>2025-11</v>
      </c>
      <c r="E46" s="4" t="s">
        <v>56</v>
      </c>
      <c r="F46" s="4" t="s">
        <v>22</v>
      </c>
      <c r="G46" s="5" t="n">
        <v>1030</v>
      </c>
      <c r="H46" s="4" t="s">
        <v>42</v>
      </c>
    </row>
    <row r="47" customFormat="false" ht="15" hidden="false" customHeight="false" outlineLevel="0" collapsed="false">
      <c r="A47" s="2" t="s">
        <v>8</v>
      </c>
      <c r="B47" s="2" t="s">
        <v>9</v>
      </c>
      <c r="C47" s="3" t="n">
        <v>45973</v>
      </c>
      <c r="D47" s="2" t="str">
        <f aca="false">TEXT(C47,"YYYY-MM")</f>
        <v>2025-11</v>
      </c>
      <c r="E47" s="2" t="s">
        <v>34</v>
      </c>
      <c r="F47" s="4" t="s">
        <v>35</v>
      </c>
      <c r="G47" s="5" t="n">
        <v>4550</v>
      </c>
      <c r="H47" s="2"/>
    </row>
    <row r="48" customFormat="false" ht="15" hidden="false" customHeight="false" outlineLevel="0" collapsed="false">
      <c r="A48" s="2" t="s">
        <v>8</v>
      </c>
      <c r="B48" s="2" t="s">
        <v>9</v>
      </c>
      <c r="C48" s="3" t="n">
        <v>45973</v>
      </c>
      <c r="D48" s="2" t="str">
        <f aca="false">TEXT(C48,"YYYY-MM")</f>
        <v>2025-11</v>
      </c>
      <c r="E48" s="2" t="s">
        <v>57</v>
      </c>
      <c r="F48" s="4" t="s">
        <v>58</v>
      </c>
      <c r="G48" s="5" t="n">
        <v>50000</v>
      </c>
      <c r="H48" s="4" t="s">
        <v>59</v>
      </c>
    </row>
    <row r="49" customFormat="false" ht="15" hidden="false" customHeight="false" outlineLevel="0" collapsed="false">
      <c r="A49" s="2" t="s">
        <v>8</v>
      </c>
      <c r="B49" s="2" t="s">
        <v>9</v>
      </c>
      <c r="C49" s="3" t="n">
        <v>45973</v>
      </c>
      <c r="D49" s="2" t="str">
        <f aca="false">TEXT(C49,"YYYY-MM")</f>
        <v>2025-11</v>
      </c>
      <c r="E49" s="4" t="s">
        <v>60</v>
      </c>
      <c r="F49" s="4" t="s">
        <v>37</v>
      </c>
      <c r="G49" s="5" t="n">
        <v>3260</v>
      </c>
      <c r="H49" s="2"/>
    </row>
    <row r="50" customFormat="false" ht="15" hidden="false" customHeight="false" outlineLevel="0" collapsed="false">
      <c r="A50" s="2" t="s">
        <v>8</v>
      </c>
      <c r="B50" s="2" t="s">
        <v>9</v>
      </c>
      <c r="C50" s="3" t="n">
        <v>45973</v>
      </c>
      <c r="D50" s="2" t="str">
        <f aca="false">TEXT(C50,"YYYY-MM")</f>
        <v>2025-11</v>
      </c>
      <c r="E50" s="4" t="s">
        <v>49</v>
      </c>
      <c r="F50" s="4" t="s">
        <v>37</v>
      </c>
      <c r="G50" s="5" t="n">
        <v>1980</v>
      </c>
      <c r="H50" s="2"/>
    </row>
    <row r="51" customFormat="false" ht="15" hidden="false" customHeight="false" outlineLevel="0" collapsed="false">
      <c r="A51" s="2" t="s">
        <v>8</v>
      </c>
      <c r="B51" s="2" t="s">
        <v>9</v>
      </c>
      <c r="C51" s="3" t="n">
        <v>45973</v>
      </c>
      <c r="D51" s="2" t="str">
        <f aca="false">TEXT(C51,"YYYY-MM")</f>
        <v>2025-11</v>
      </c>
      <c r="E51" s="4" t="s">
        <v>61</v>
      </c>
      <c r="F51" s="4" t="s">
        <v>62</v>
      </c>
      <c r="G51" s="5" t="n">
        <v>4000</v>
      </c>
      <c r="H51" s="4" t="s">
        <v>63</v>
      </c>
    </row>
    <row r="52" customFormat="false" ht="15" hidden="false" customHeight="false" outlineLevel="0" collapsed="false">
      <c r="A52" s="2" t="s">
        <v>8</v>
      </c>
      <c r="B52" s="2" t="s">
        <v>9</v>
      </c>
      <c r="C52" s="3" t="n">
        <v>45973</v>
      </c>
      <c r="D52" s="2" t="str">
        <f aca="false">TEXT(C52,"YYYY-MM")</f>
        <v>2025-11</v>
      </c>
      <c r="E52" s="4" t="s">
        <v>64</v>
      </c>
      <c r="F52" s="4" t="s">
        <v>62</v>
      </c>
      <c r="G52" s="5" t="n">
        <v>488200</v>
      </c>
      <c r="H52" s="4" t="s">
        <v>65</v>
      </c>
    </row>
    <row r="53" customFormat="false" ht="15" hidden="false" customHeight="false" outlineLevel="0" collapsed="false">
      <c r="A53" s="2" t="s">
        <v>8</v>
      </c>
      <c r="B53" s="2" t="s">
        <v>9</v>
      </c>
      <c r="C53" s="3" t="n">
        <v>45973</v>
      </c>
      <c r="D53" s="2" t="str">
        <f aca="false">TEXT(C53,"YYYY-MM")</f>
        <v>2025-11</v>
      </c>
      <c r="E53" s="4" t="s">
        <v>66</v>
      </c>
      <c r="F53" s="4" t="s">
        <v>62</v>
      </c>
      <c r="G53" s="5" t="n">
        <v>861141</v>
      </c>
      <c r="H53" s="2"/>
    </row>
    <row r="54" customFormat="false" ht="15" hidden="false" customHeight="false" outlineLevel="0" collapsed="false">
      <c r="A54" s="2" t="s">
        <v>8</v>
      </c>
      <c r="B54" s="2" t="s">
        <v>9</v>
      </c>
      <c r="C54" s="3" t="n">
        <v>45974</v>
      </c>
      <c r="D54" s="2" t="str">
        <f aca="false">TEXT(C54,"YYYY-MM")</f>
        <v>2025-11</v>
      </c>
      <c r="E54" s="2" t="s">
        <v>57</v>
      </c>
      <c r="F54" s="4" t="s">
        <v>58</v>
      </c>
      <c r="G54" s="5" t="n">
        <v>27500</v>
      </c>
      <c r="H54" s="4" t="s">
        <v>59</v>
      </c>
    </row>
    <row r="55" customFormat="false" ht="15" hidden="false" customHeight="false" outlineLevel="0" collapsed="false">
      <c r="A55" s="2" t="s">
        <v>8</v>
      </c>
      <c r="B55" s="2" t="s">
        <v>9</v>
      </c>
      <c r="C55" s="3" t="n">
        <v>45974</v>
      </c>
      <c r="D55" s="2" t="str">
        <f aca="false">TEXT(C55,"YYYY-MM")</f>
        <v>2025-11</v>
      </c>
      <c r="E55" s="4" t="s">
        <v>38</v>
      </c>
      <c r="F55" s="4" t="s">
        <v>22</v>
      </c>
      <c r="G55" s="5" t="n">
        <v>1380</v>
      </c>
      <c r="H55" s="2"/>
    </row>
    <row r="56" customFormat="false" ht="15" hidden="false" customHeight="false" outlineLevel="0" collapsed="false">
      <c r="A56" s="2" t="s">
        <v>8</v>
      </c>
      <c r="B56" s="2" t="s">
        <v>9</v>
      </c>
      <c r="C56" s="3" t="n">
        <v>45974</v>
      </c>
      <c r="D56" s="2" t="str">
        <f aca="false">TEXT(C56,"YYYY-MM")</f>
        <v>2025-11</v>
      </c>
      <c r="E56" s="4" t="s">
        <v>67</v>
      </c>
      <c r="F56" s="4" t="s">
        <v>68</v>
      </c>
      <c r="G56" s="5" t="n">
        <v>5005</v>
      </c>
      <c r="H56" s="4" t="s">
        <v>69</v>
      </c>
    </row>
    <row r="57" customFormat="false" ht="15" hidden="false" customHeight="false" outlineLevel="0" collapsed="false">
      <c r="A57" s="2" t="s">
        <v>8</v>
      </c>
      <c r="B57" s="2" t="s">
        <v>9</v>
      </c>
      <c r="C57" s="3" t="n">
        <v>45975</v>
      </c>
      <c r="D57" s="2" t="str">
        <f aca="false">TEXT(C57,"YYYY-MM")</f>
        <v>2025-11</v>
      </c>
      <c r="E57" s="4" t="s">
        <v>38</v>
      </c>
      <c r="F57" s="4" t="s">
        <v>22</v>
      </c>
      <c r="G57" s="5" t="n">
        <v>1980</v>
      </c>
      <c r="H57" s="2"/>
    </row>
    <row r="58" customFormat="false" ht="15" hidden="false" customHeight="false" outlineLevel="0" collapsed="false">
      <c r="A58" s="2" t="s">
        <v>8</v>
      </c>
      <c r="B58" s="2" t="s">
        <v>9</v>
      </c>
      <c r="C58" s="3" t="n">
        <v>45975</v>
      </c>
      <c r="D58" s="2" t="str">
        <f aca="false">TEXT(C58,"YYYY-MM")</f>
        <v>2025-11</v>
      </c>
      <c r="E58" s="4" t="s">
        <v>56</v>
      </c>
      <c r="F58" s="4" t="s">
        <v>22</v>
      </c>
      <c r="G58" s="5" t="n">
        <v>440</v>
      </c>
      <c r="H58" s="4" t="s">
        <v>42</v>
      </c>
    </row>
    <row r="59" customFormat="false" ht="15" hidden="false" customHeight="false" outlineLevel="0" collapsed="false">
      <c r="A59" s="2" t="s">
        <v>8</v>
      </c>
      <c r="B59" s="2" t="s">
        <v>9</v>
      </c>
      <c r="C59" s="3" t="n">
        <v>45977</v>
      </c>
      <c r="D59" s="2" t="str">
        <f aca="false">TEXT(C59,"YYYY-MM")</f>
        <v>2025-11</v>
      </c>
      <c r="E59" s="4" t="s">
        <v>70</v>
      </c>
      <c r="F59" s="4" t="s">
        <v>22</v>
      </c>
      <c r="G59" s="5" t="n">
        <v>3399</v>
      </c>
      <c r="H59" s="2"/>
    </row>
    <row r="60" customFormat="false" ht="15" hidden="false" customHeight="false" outlineLevel="0" collapsed="false">
      <c r="A60" s="2" t="s">
        <v>8</v>
      </c>
      <c r="B60" s="2" t="s">
        <v>9</v>
      </c>
      <c r="C60" s="3" t="n">
        <v>45978</v>
      </c>
      <c r="D60" s="2" t="str">
        <f aca="false">TEXT(C60,"YYYY-MM")</f>
        <v>2025-11</v>
      </c>
      <c r="E60" s="4" t="s">
        <v>38</v>
      </c>
      <c r="F60" s="4" t="s">
        <v>22</v>
      </c>
      <c r="G60" s="5" t="n">
        <v>1380</v>
      </c>
      <c r="H60" s="2"/>
    </row>
    <row r="61" customFormat="false" ht="15" hidden="false" customHeight="false" outlineLevel="0" collapsed="false">
      <c r="A61" s="2" t="s">
        <v>8</v>
      </c>
      <c r="B61" s="2" t="s">
        <v>9</v>
      </c>
      <c r="C61" s="3" t="n">
        <v>45978</v>
      </c>
      <c r="D61" s="2" t="str">
        <f aca="false">TEXT(C61,"YYYY-MM")</f>
        <v>2025-11</v>
      </c>
      <c r="E61" s="4" t="s">
        <v>71</v>
      </c>
      <c r="F61" s="4" t="s">
        <v>26</v>
      </c>
      <c r="G61" s="5" t="n">
        <v>5000</v>
      </c>
      <c r="H61" s="4" t="s">
        <v>72</v>
      </c>
    </row>
    <row r="62" customFormat="false" ht="15" hidden="false" customHeight="false" outlineLevel="0" collapsed="false">
      <c r="A62" s="2" t="s">
        <v>8</v>
      </c>
      <c r="B62" s="2" t="s">
        <v>9</v>
      </c>
      <c r="C62" s="3" t="n">
        <v>45979</v>
      </c>
      <c r="D62" s="2" t="str">
        <f aca="false">TEXT(C62,"YYYY-MM")</f>
        <v>2025-11</v>
      </c>
      <c r="E62" s="4" t="s">
        <v>43</v>
      </c>
      <c r="F62" s="4" t="s">
        <v>22</v>
      </c>
      <c r="G62" s="5" t="n">
        <v>1958</v>
      </c>
      <c r="H62" s="2"/>
    </row>
    <row r="63" customFormat="false" ht="15" hidden="false" customHeight="false" outlineLevel="0" collapsed="false">
      <c r="A63" s="2" t="s">
        <v>8</v>
      </c>
      <c r="B63" s="2" t="s">
        <v>9</v>
      </c>
      <c r="C63" s="3" t="n">
        <v>45979</v>
      </c>
      <c r="D63" s="2" t="str">
        <f aca="false">TEXT(C63,"YYYY-MM")</f>
        <v>2025-11</v>
      </c>
      <c r="E63" s="4" t="s">
        <v>45</v>
      </c>
      <c r="F63" s="4" t="s">
        <v>28</v>
      </c>
      <c r="G63" s="5" t="n">
        <v>3260</v>
      </c>
      <c r="H63" s="2"/>
    </row>
    <row r="64" customFormat="false" ht="15" hidden="false" customHeight="false" outlineLevel="0" collapsed="false">
      <c r="A64" s="2" t="s">
        <v>8</v>
      </c>
      <c r="B64" s="2" t="s">
        <v>9</v>
      </c>
      <c r="C64" s="3" t="n">
        <v>45979</v>
      </c>
      <c r="D64" s="2" t="str">
        <f aca="false">TEXT(C64,"YYYY-MM")</f>
        <v>2025-11</v>
      </c>
      <c r="E64" s="4" t="s">
        <v>46</v>
      </c>
      <c r="F64" s="4" t="s">
        <v>13</v>
      </c>
      <c r="G64" s="5" t="n">
        <v>10880</v>
      </c>
      <c r="H64" s="4" t="s">
        <v>47</v>
      </c>
    </row>
    <row r="65" customFormat="false" ht="15" hidden="false" customHeight="false" outlineLevel="0" collapsed="false">
      <c r="A65" s="2" t="s">
        <v>8</v>
      </c>
      <c r="B65" s="2" t="s">
        <v>9</v>
      </c>
      <c r="C65" s="3" t="n">
        <v>45979</v>
      </c>
      <c r="D65" s="2" t="str">
        <f aca="false">TEXT(C65,"YYYY-MM")</f>
        <v>2025-11</v>
      </c>
      <c r="E65" s="4" t="s">
        <v>46</v>
      </c>
      <c r="F65" s="4" t="s">
        <v>13</v>
      </c>
      <c r="G65" s="5" t="n">
        <v>10880</v>
      </c>
      <c r="H65" s="4" t="s">
        <v>47</v>
      </c>
    </row>
    <row r="66" customFormat="false" ht="15" hidden="false" customHeight="false" outlineLevel="0" collapsed="false">
      <c r="A66" s="2" t="s">
        <v>8</v>
      </c>
      <c r="B66" s="2" t="s">
        <v>9</v>
      </c>
      <c r="C66" s="3" t="n">
        <v>45979</v>
      </c>
      <c r="D66" s="2" t="str">
        <f aca="false">TEXT(C66,"YYYY-MM")</f>
        <v>2025-11</v>
      </c>
      <c r="E66" s="4" t="s">
        <v>73</v>
      </c>
      <c r="F66" s="4" t="s">
        <v>13</v>
      </c>
      <c r="G66" s="5" t="n">
        <v>1800</v>
      </c>
      <c r="H66" s="4" t="s">
        <v>74</v>
      </c>
    </row>
    <row r="67" customFormat="false" ht="15" hidden="false" customHeight="false" outlineLevel="0" collapsed="false">
      <c r="A67" s="2" t="s">
        <v>8</v>
      </c>
      <c r="B67" s="2" t="s">
        <v>9</v>
      </c>
      <c r="C67" s="3" t="n">
        <v>45979</v>
      </c>
      <c r="D67" s="2" t="str">
        <f aca="false">TEXT(C67,"YYYY-MM")</f>
        <v>2025-11</v>
      </c>
      <c r="E67" s="2" t="s">
        <v>12</v>
      </c>
      <c r="F67" s="4" t="s">
        <v>13</v>
      </c>
      <c r="G67" s="5" t="n">
        <v>1800</v>
      </c>
      <c r="H67" s="2"/>
    </row>
    <row r="68" customFormat="false" ht="15" hidden="false" customHeight="false" outlineLevel="0" collapsed="false">
      <c r="A68" s="2" t="s">
        <v>8</v>
      </c>
      <c r="B68" s="2" t="s">
        <v>9</v>
      </c>
      <c r="C68" s="3" t="n">
        <v>45980</v>
      </c>
      <c r="D68" s="2" t="str">
        <f aca="false">TEXT(C68,"YYYY-MM")</f>
        <v>2025-11</v>
      </c>
      <c r="E68" s="4" t="s">
        <v>38</v>
      </c>
      <c r="F68" s="4" t="s">
        <v>22</v>
      </c>
      <c r="G68" s="5" t="n">
        <v>1380</v>
      </c>
      <c r="H68" s="2"/>
    </row>
    <row r="69" customFormat="false" ht="15" hidden="false" customHeight="false" outlineLevel="0" collapsed="false">
      <c r="A69" s="2" t="s">
        <v>8</v>
      </c>
      <c r="B69" s="2" t="s">
        <v>9</v>
      </c>
      <c r="C69" s="3" t="n">
        <v>45981</v>
      </c>
      <c r="D69" s="2" t="str">
        <f aca="false">TEXT(C69,"YYYY-MM")</f>
        <v>2025-11</v>
      </c>
      <c r="E69" s="4" t="s">
        <v>75</v>
      </c>
      <c r="F69" s="4" t="s">
        <v>13</v>
      </c>
      <c r="G69" s="5" t="n">
        <v>3900</v>
      </c>
      <c r="H69" s="4" t="s">
        <v>76</v>
      </c>
    </row>
    <row r="70" customFormat="false" ht="15" hidden="false" customHeight="false" outlineLevel="0" collapsed="false">
      <c r="A70" s="2" t="s">
        <v>8</v>
      </c>
      <c r="B70" s="2" t="s">
        <v>9</v>
      </c>
      <c r="C70" s="3" t="n">
        <v>45981</v>
      </c>
      <c r="D70" s="2" t="str">
        <f aca="false">TEXT(C70,"YYYY-MM")</f>
        <v>2025-11</v>
      </c>
      <c r="E70" s="4" t="s">
        <v>46</v>
      </c>
      <c r="F70" s="4" t="s">
        <v>13</v>
      </c>
      <c r="G70" s="5" t="n">
        <v>10880</v>
      </c>
      <c r="H70" s="4" t="s">
        <v>47</v>
      </c>
    </row>
    <row r="71" customFormat="false" ht="15" hidden="false" customHeight="false" outlineLevel="0" collapsed="false">
      <c r="A71" s="2" t="s">
        <v>8</v>
      </c>
      <c r="B71" s="2" t="s">
        <v>9</v>
      </c>
      <c r="C71" s="3" t="n">
        <v>45981</v>
      </c>
      <c r="D71" s="2" t="str">
        <f aca="false">TEXT(C71,"YYYY-MM")</f>
        <v>2025-11</v>
      </c>
      <c r="E71" s="4" t="s">
        <v>46</v>
      </c>
      <c r="F71" s="4" t="s">
        <v>13</v>
      </c>
      <c r="G71" s="5" t="n">
        <v>14540</v>
      </c>
      <c r="H71" s="4" t="s">
        <v>47</v>
      </c>
    </row>
    <row r="72" customFormat="false" ht="15" hidden="false" customHeight="false" outlineLevel="0" collapsed="false">
      <c r="A72" s="2" t="s">
        <v>8</v>
      </c>
      <c r="B72" s="2" t="s">
        <v>9</v>
      </c>
      <c r="C72" s="3" t="n">
        <v>45982</v>
      </c>
      <c r="D72" s="2" t="str">
        <f aca="false">TEXT(C72,"YYYY-MM")</f>
        <v>2025-11</v>
      </c>
      <c r="E72" s="4" t="s">
        <v>38</v>
      </c>
      <c r="F72" s="4" t="s">
        <v>22</v>
      </c>
      <c r="G72" s="5" t="n">
        <v>1980</v>
      </c>
      <c r="H72" s="2"/>
    </row>
    <row r="73" customFormat="false" ht="15" hidden="false" customHeight="false" outlineLevel="0" collapsed="false">
      <c r="A73" s="2" t="s">
        <v>8</v>
      </c>
      <c r="B73" s="2" t="s">
        <v>9</v>
      </c>
      <c r="C73" s="3" t="n">
        <v>45982</v>
      </c>
      <c r="D73" s="2" t="str">
        <f aca="false">TEXT(C73,"YYYY-MM")</f>
        <v>2025-11</v>
      </c>
      <c r="E73" s="4" t="s">
        <v>55</v>
      </c>
      <c r="F73" s="4" t="s">
        <v>35</v>
      </c>
      <c r="G73" s="5" t="n">
        <v>1352</v>
      </c>
      <c r="H73" s="2"/>
    </row>
    <row r="74" customFormat="false" ht="15" hidden="false" customHeight="false" outlineLevel="0" collapsed="false">
      <c r="A74" s="2" t="s">
        <v>8</v>
      </c>
      <c r="B74" s="2" t="s">
        <v>9</v>
      </c>
      <c r="C74" s="3" t="n">
        <v>45982</v>
      </c>
      <c r="D74" s="2" t="str">
        <f aca="false">TEXT(C74,"YYYY-MM")</f>
        <v>2025-11</v>
      </c>
      <c r="E74" s="4" t="s">
        <v>77</v>
      </c>
      <c r="F74" s="4" t="s">
        <v>13</v>
      </c>
      <c r="G74" s="5" t="n">
        <v>1200</v>
      </c>
      <c r="H74" s="4" t="s">
        <v>74</v>
      </c>
    </row>
    <row r="75" customFormat="false" ht="15" hidden="false" customHeight="false" outlineLevel="0" collapsed="false">
      <c r="A75" s="2" t="s">
        <v>8</v>
      </c>
      <c r="B75" s="2" t="s">
        <v>9</v>
      </c>
      <c r="C75" s="3" t="n">
        <v>45984</v>
      </c>
      <c r="D75" s="2" t="str">
        <f aca="false">TEXT(C75,"YYYY-MM")</f>
        <v>2025-11</v>
      </c>
      <c r="E75" s="2" t="s">
        <v>34</v>
      </c>
      <c r="F75" s="4" t="s">
        <v>35</v>
      </c>
      <c r="G75" s="5" t="n">
        <v>740</v>
      </c>
      <c r="H75" s="2"/>
    </row>
    <row r="76" customFormat="false" ht="15" hidden="false" customHeight="false" outlineLevel="0" collapsed="false">
      <c r="A76" s="2" t="s">
        <v>8</v>
      </c>
      <c r="B76" s="2" t="s">
        <v>9</v>
      </c>
      <c r="C76" s="3" t="n">
        <v>45985</v>
      </c>
      <c r="D76" s="2" t="str">
        <f aca="false">TEXT(C76,"YYYY-MM")</f>
        <v>2025-11</v>
      </c>
      <c r="E76" s="2" t="s">
        <v>34</v>
      </c>
      <c r="F76" s="4" t="s">
        <v>35</v>
      </c>
      <c r="G76" s="5" t="n">
        <v>3400</v>
      </c>
      <c r="H76" s="2"/>
    </row>
    <row r="77" customFormat="false" ht="15" hidden="false" customHeight="false" outlineLevel="0" collapsed="false">
      <c r="A77" s="2" t="s">
        <v>8</v>
      </c>
      <c r="B77" s="2" t="s">
        <v>9</v>
      </c>
      <c r="C77" s="3" t="n">
        <v>45985</v>
      </c>
      <c r="D77" s="2" t="str">
        <f aca="false">TEXT(C77,"YYYY-MM")</f>
        <v>2025-11</v>
      </c>
      <c r="E77" s="4" t="s">
        <v>36</v>
      </c>
      <c r="F77" s="4" t="s">
        <v>37</v>
      </c>
      <c r="G77" s="5" t="n">
        <v>2420</v>
      </c>
      <c r="H77" s="2"/>
    </row>
    <row r="78" customFormat="false" ht="15" hidden="false" customHeight="false" outlineLevel="0" collapsed="false">
      <c r="A78" s="2" t="s">
        <v>8</v>
      </c>
      <c r="B78" s="2" t="s">
        <v>9</v>
      </c>
      <c r="C78" s="3" t="n">
        <v>45986</v>
      </c>
      <c r="D78" s="2" t="str">
        <f aca="false">TEXT(C78,"YYYY-MM")</f>
        <v>2025-11</v>
      </c>
      <c r="E78" s="4" t="s">
        <v>43</v>
      </c>
      <c r="F78" s="4" t="s">
        <v>22</v>
      </c>
      <c r="G78" s="5" t="n">
        <v>2068</v>
      </c>
      <c r="H78" s="2"/>
    </row>
    <row r="79" customFormat="false" ht="15" hidden="false" customHeight="false" outlineLevel="0" collapsed="false">
      <c r="A79" s="2" t="s">
        <v>8</v>
      </c>
      <c r="B79" s="2" t="s">
        <v>9</v>
      </c>
      <c r="C79" s="3" t="n">
        <v>45986</v>
      </c>
      <c r="D79" s="2" t="str">
        <f aca="false">TEXT(C79,"YYYY-MM")</f>
        <v>2025-11</v>
      </c>
      <c r="E79" s="4" t="s">
        <v>45</v>
      </c>
      <c r="F79" s="4" t="s">
        <v>28</v>
      </c>
      <c r="G79" s="5" t="n">
        <v>2820</v>
      </c>
      <c r="H79" s="2"/>
    </row>
    <row r="80" customFormat="false" ht="15" hidden="false" customHeight="false" outlineLevel="0" collapsed="false">
      <c r="A80" s="2" t="s">
        <v>8</v>
      </c>
      <c r="B80" s="2" t="s">
        <v>9</v>
      </c>
      <c r="C80" s="3" t="n">
        <v>45986</v>
      </c>
      <c r="D80" s="2" t="str">
        <f aca="false">TEXT(C80,"YYYY-MM")</f>
        <v>2025-11</v>
      </c>
      <c r="E80" s="4" t="s">
        <v>46</v>
      </c>
      <c r="F80" s="4" t="s">
        <v>13</v>
      </c>
      <c r="G80" s="5" t="n">
        <v>10880</v>
      </c>
      <c r="H80" s="4" t="s">
        <v>47</v>
      </c>
    </row>
    <row r="81" customFormat="false" ht="15" hidden="false" customHeight="false" outlineLevel="0" collapsed="false">
      <c r="A81" s="2" t="s">
        <v>8</v>
      </c>
      <c r="B81" s="2" t="s">
        <v>9</v>
      </c>
      <c r="C81" s="3" t="n">
        <v>45986</v>
      </c>
      <c r="D81" s="2" t="str">
        <f aca="false">TEXT(C81,"YYYY-MM")</f>
        <v>2025-11</v>
      </c>
      <c r="E81" s="4" t="s">
        <v>46</v>
      </c>
      <c r="F81" s="4" t="s">
        <v>13</v>
      </c>
      <c r="G81" s="5" t="n">
        <v>10880</v>
      </c>
      <c r="H81" s="4" t="s">
        <v>47</v>
      </c>
    </row>
    <row r="82" customFormat="false" ht="15" hidden="false" customHeight="false" outlineLevel="0" collapsed="false">
      <c r="A82" s="2" t="s">
        <v>8</v>
      </c>
      <c r="B82" s="2" t="s">
        <v>9</v>
      </c>
      <c r="C82" s="3" t="n">
        <v>45986</v>
      </c>
      <c r="D82" s="2" t="str">
        <f aca="false">TEXT(C82,"YYYY-MM")</f>
        <v>2025-11</v>
      </c>
      <c r="E82" s="4" t="s">
        <v>78</v>
      </c>
      <c r="F82" s="4" t="s">
        <v>58</v>
      </c>
      <c r="G82" s="5" t="n">
        <v>137293</v>
      </c>
      <c r="H82" s="4" t="s">
        <v>79</v>
      </c>
    </row>
    <row r="83" customFormat="false" ht="15" hidden="false" customHeight="false" outlineLevel="0" collapsed="false">
      <c r="A83" s="2" t="s">
        <v>8</v>
      </c>
      <c r="B83" s="2" t="s">
        <v>9</v>
      </c>
      <c r="C83" s="3" t="n">
        <v>45987</v>
      </c>
      <c r="D83" s="2" t="str">
        <f aca="false">TEXT(C83,"YYYY-MM")</f>
        <v>2025-11</v>
      </c>
      <c r="E83" s="4" t="s">
        <v>80</v>
      </c>
      <c r="F83" s="4" t="s">
        <v>22</v>
      </c>
      <c r="G83" s="5" t="n">
        <v>7095</v>
      </c>
      <c r="H83" s="2"/>
    </row>
    <row r="84" customFormat="false" ht="15" hidden="false" customHeight="false" outlineLevel="0" collapsed="false">
      <c r="A84" s="2" t="s">
        <v>8</v>
      </c>
      <c r="B84" s="2" t="s">
        <v>9</v>
      </c>
      <c r="C84" s="3" t="n">
        <v>45987</v>
      </c>
      <c r="D84" s="2" t="str">
        <f aca="false">TEXT(C84,"YYYY-MM")</f>
        <v>2025-11</v>
      </c>
      <c r="E84" s="4" t="s">
        <v>81</v>
      </c>
      <c r="F84" s="4" t="s">
        <v>35</v>
      </c>
      <c r="G84" s="5" t="n">
        <v>4980</v>
      </c>
      <c r="H84" s="2"/>
    </row>
    <row r="85" customFormat="false" ht="15" hidden="false" customHeight="false" outlineLevel="0" collapsed="false">
      <c r="A85" s="2" t="s">
        <v>8</v>
      </c>
      <c r="B85" s="2" t="s">
        <v>9</v>
      </c>
      <c r="C85" s="3" t="n">
        <v>45987</v>
      </c>
      <c r="D85" s="2" t="str">
        <f aca="false">TEXT(C85,"YYYY-MM")</f>
        <v>2025-11</v>
      </c>
      <c r="E85" s="2" t="s">
        <v>82</v>
      </c>
      <c r="F85" s="4" t="s">
        <v>15</v>
      </c>
      <c r="G85" s="5" t="n">
        <v>3815</v>
      </c>
      <c r="H85" s="4" t="s">
        <v>83</v>
      </c>
    </row>
    <row r="86" customFormat="false" ht="15" hidden="false" customHeight="false" outlineLevel="0" collapsed="false">
      <c r="A86" s="2" t="s">
        <v>8</v>
      </c>
      <c r="B86" s="2" t="s">
        <v>9</v>
      </c>
      <c r="C86" s="3" t="n">
        <v>45987</v>
      </c>
      <c r="D86" s="2" t="str">
        <f aca="false">TEXT(C86,"YYYY-MM")</f>
        <v>2025-11</v>
      </c>
      <c r="E86" s="4" t="s">
        <v>84</v>
      </c>
      <c r="F86" s="4" t="s">
        <v>17</v>
      </c>
      <c r="G86" s="5" t="n">
        <v>600</v>
      </c>
      <c r="H86" s="4" t="s">
        <v>18</v>
      </c>
    </row>
    <row r="87" customFormat="false" ht="15" hidden="false" customHeight="false" outlineLevel="0" collapsed="false">
      <c r="A87" s="2" t="s">
        <v>8</v>
      </c>
      <c r="B87" s="2" t="s">
        <v>9</v>
      </c>
      <c r="C87" s="3" t="n">
        <v>45988</v>
      </c>
      <c r="D87" s="2" t="str">
        <f aca="false">TEXT(C87,"YYYY-MM")</f>
        <v>2025-11</v>
      </c>
      <c r="E87" s="4" t="s">
        <v>43</v>
      </c>
      <c r="F87" s="4" t="s">
        <v>22</v>
      </c>
      <c r="G87" s="5" t="n">
        <v>1848</v>
      </c>
      <c r="H87" s="2"/>
    </row>
    <row r="88" customFormat="false" ht="15" hidden="false" customHeight="false" outlineLevel="0" collapsed="false">
      <c r="A88" s="2" t="s">
        <v>8</v>
      </c>
      <c r="B88" s="2" t="s">
        <v>9</v>
      </c>
      <c r="C88" s="3" t="n">
        <v>45988</v>
      </c>
      <c r="D88" s="2" t="str">
        <f aca="false">TEXT(C88,"YYYY-MM")</f>
        <v>2025-11</v>
      </c>
      <c r="E88" s="4" t="s">
        <v>75</v>
      </c>
      <c r="F88" s="4" t="s">
        <v>13</v>
      </c>
      <c r="G88" s="5" t="n">
        <v>2200</v>
      </c>
      <c r="H88" s="4" t="s">
        <v>76</v>
      </c>
    </row>
    <row r="89" customFormat="false" ht="15" hidden="false" customHeight="false" outlineLevel="0" collapsed="false">
      <c r="A89" s="2" t="s">
        <v>8</v>
      </c>
      <c r="B89" s="2" t="s">
        <v>9</v>
      </c>
      <c r="C89" s="3" t="n">
        <v>45988</v>
      </c>
      <c r="D89" s="2" t="str">
        <f aca="false">TEXT(C89,"YYYY-MM")</f>
        <v>2025-11</v>
      </c>
      <c r="E89" s="4" t="s">
        <v>46</v>
      </c>
      <c r="F89" s="4" t="s">
        <v>13</v>
      </c>
      <c r="G89" s="5" t="n">
        <v>10880</v>
      </c>
      <c r="H89" s="4" t="s">
        <v>47</v>
      </c>
    </row>
    <row r="90" customFormat="false" ht="15" hidden="false" customHeight="false" outlineLevel="0" collapsed="false">
      <c r="A90" s="2" t="s">
        <v>8</v>
      </c>
      <c r="B90" s="2" t="s">
        <v>9</v>
      </c>
      <c r="C90" s="3" t="n">
        <v>45988</v>
      </c>
      <c r="D90" s="2" t="str">
        <f aca="false">TEXT(C90,"YYYY-MM")</f>
        <v>2025-11</v>
      </c>
      <c r="E90" s="4" t="s">
        <v>46</v>
      </c>
      <c r="F90" s="4" t="s">
        <v>13</v>
      </c>
      <c r="G90" s="5" t="n">
        <v>10880</v>
      </c>
      <c r="H90" s="4" t="s">
        <v>47</v>
      </c>
    </row>
    <row r="91" customFormat="false" ht="15" hidden="false" customHeight="false" outlineLevel="0" collapsed="false">
      <c r="A91" s="2" t="s">
        <v>8</v>
      </c>
      <c r="B91" s="2" t="s">
        <v>9</v>
      </c>
      <c r="C91" s="3" t="n">
        <v>45988</v>
      </c>
      <c r="D91" s="2" t="str">
        <f aca="false">TEXT(C91,"YYYY-MM")</f>
        <v>2025-11</v>
      </c>
      <c r="E91" s="4" t="s">
        <v>73</v>
      </c>
      <c r="F91" s="4" t="s">
        <v>13</v>
      </c>
      <c r="G91" s="5" t="n">
        <v>1600</v>
      </c>
      <c r="H91" s="4" t="s">
        <v>74</v>
      </c>
    </row>
    <row r="92" customFormat="false" ht="15" hidden="false" customHeight="false" outlineLevel="0" collapsed="false">
      <c r="A92" s="2" t="s">
        <v>8</v>
      </c>
      <c r="B92" s="2" t="s">
        <v>9</v>
      </c>
      <c r="C92" s="3" t="n">
        <v>45989</v>
      </c>
      <c r="D92" s="2" t="str">
        <f aca="false">TEXT(C92,"YYYY-MM")</f>
        <v>2025-11</v>
      </c>
      <c r="E92" s="4" t="s">
        <v>38</v>
      </c>
      <c r="F92" s="4" t="s">
        <v>22</v>
      </c>
      <c r="G92" s="5" t="n">
        <v>1380</v>
      </c>
      <c r="H92" s="2"/>
    </row>
    <row r="93" customFormat="false" ht="15" hidden="false" customHeight="false" outlineLevel="0" collapsed="false">
      <c r="A93" s="2" t="s">
        <v>8</v>
      </c>
      <c r="B93" s="2" t="s">
        <v>9</v>
      </c>
      <c r="C93" s="3" t="n">
        <v>45990</v>
      </c>
      <c r="D93" s="2" t="str">
        <f aca="false">TEXT(C93,"YYYY-MM")</f>
        <v>2025-11</v>
      </c>
      <c r="E93" s="4" t="s">
        <v>85</v>
      </c>
      <c r="F93" s="4" t="s">
        <v>22</v>
      </c>
      <c r="G93" s="5" t="n">
        <v>11991</v>
      </c>
      <c r="H93" s="2"/>
    </row>
    <row r="94" customFormat="false" ht="15" hidden="false" customHeight="false" outlineLevel="0" collapsed="false">
      <c r="A94" s="2" t="s">
        <v>8</v>
      </c>
      <c r="B94" s="2" t="s">
        <v>9</v>
      </c>
      <c r="C94" s="3" t="n">
        <v>45991</v>
      </c>
      <c r="D94" s="2" t="str">
        <f aca="false">TEXT(C94,"YYYY-MM")</f>
        <v>2025-11</v>
      </c>
      <c r="E94" s="4" t="s">
        <v>86</v>
      </c>
      <c r="F94" s="4" t="s">
        <v>87</v>
      </c>
      <c r="G94" s="5" t="n">
        <v>22000</v>
      </c>
      <c r="H94" s="4" t="s">
        <v>88</v>
      </c>
    </row>
    <row r="95" customFormat="false" ht="15" hidden="false" customHeight="false" outlineLevel="0" collapsed="false">
      <c r="A95" s="2" t="s">
        <v>8</v>
      </c>
      <c r="B95" s="2" t="s">
        <v>9</v>
      </c>
      <c r="C95" s="3" t="n">
        <v>45992</v>
      </c>
      <c r="D95" s="2" t="str">
        <f aca="false">TEXT(C95,"YYYY-MM")</f>
        <v>2025-12</v>
      </c>
      <c r="E95" s="2" t="s">
        <v>89</v>
      </c>
      <c r="F95" s="4" t="s">
        <v>35</v>
      </c>
      <c r="G95" s="5" t="n">
        <v>5478</v>
      </c>
      <c r="H95" s="4" t="s">
        <v>90</v>
      </c>
    </row>
    <row r="96" customFormat="false" ht="15" hidden="false" customHeight="false" outlineLevel="0" collapsed="false">
      <c r="A96" s="2" t="s">
        <v>8</v>
      </c>
      <c r="B96" s="2" t="s">
        <v>9</v>
      </c>
      <c r="C96" s="3" t="n">
        <v>45992</v>
      </c>
      <c r="D96" s="2" t="str">
        <f aca="false">TEXT(C96,"YYYY-MM")</f>
        <v>2025-12</v>
      </c>
      <c r="E96" s="4" t="s">
        <v>38</v>
      </c>
      <c r="F96" s="4" t="s">
        <v>22</v>
      </c>
      <c r="G96" s="5" t="n">
        <v>1380</v>
      </c>
      <c r="H96" s="2"/>
    </row>
    <row r="97" customFormat="false" ht="15" hidden="false" customHeight="false" outlineLevel="0" collapsed="false">
      <c r="A97" s="2" t="s">
        <v>8</v>
      </c>
      <c r="B97" s="2" t="s">
        <v>9</v>
      </c>
      <c r="C97" s="3" t="n">
        <v>45993</v>
      </c>
      <c r="D97" s="2" t="str">
        <f aca="false">TEXT(C97,"YYYY-MM")</f>
        <v>2025-12</v>
      </c>
      <c r="E97" s="4" t="s">
        <v>38</v>
      </c>
      <c r="F97" s="4" t="s">
        <v>22</v>
      </c>
      <c r="G97" s="5" t="n">
        <v>1980</v>
      </c>
      <c r="H97" s="2"/>
    </row>
    <row r="98" customFormat="false" ht="15" hidden="false" customHeight="false" outlineLevel="0" collapsed="false">
      <c r="A98" s="2" t="s">
        <v>8</v>
      </c>
      <c r="B98" s="2" t="s">
        <v>9</v>
      </c>
      <c r="C98" s="3" t="n">
        <v>45993</v>
      </c>
      <c r="D98" s="2" t="str">
        <f aca="false">TEXT(C98,"YYYY-MM")</f>
        <v>2025-12</v>
      </c>
      <c r="E98" s="4" t="s">
        <v>49</v>
      </c>
      <c r="F98" s="4" t="s">
        <v>37</v>
      </c>
      <c r="G98" s="5" t="n">
        <v>9890</v>
      </c>
      <c r="H98" s="2"/>
    </row>
    <row r="99" customFormat="false" ht="15" hidden="false" customHeight="false" outlineLevel="0" collapsed="false">
      <c r="A99" s="2" t="s">
        <v>8</v>
      </c>
      <c r="B99" s="2" t="s">
        <v>9</v>
      </c>
      <c r="C99" s="3" t="n">
        <v>45994</v>
      </c>
      <c r="D99" s="2" t="str">
        <f aca="false">TEXT(C99,"YYYY-MM")</f>
        <v>2025-12</v>
      </c>
      <c r="E99" s="4" t="s">
        <v>91</v>
      </c>
      <c r="F99" s="4" t="s">
        <v>37</v>
      </c>
      <c r="G99" s="5" t="n">
        <v>4436</v>
      </c>
      <c r="H99" s="2"/>
    </row>
    <row r="100" customFormat="false" ht="15" hidden="false" customHeight="false" outlineLevel="0" collapsed="false">
      <c r="A100" s="2" t="s">
        <v>8</v>
      </c>
      <c r="B100" s="2" t="s">
        <v>92</v>
      </c>
      <c r="C100" s="3" t="n">
        <v>45989</v>
      </c>
      <c r="D100" s="2" t="str">
        <f aca="false">TEXT(C100,"YYYY-MM")</f>
        <v>2025-11</v>
      </c>
      <c r="E100" s="4" t="s">
        <v>93</v>
      </c>
      <c r="F100" s="4" t="s">
        <v>11</v>
      </c>
      <c r="G100" s="5" t="n">
        <v>2441</v>
      </c>
      <c r="H100" s="2"/>
    </row>
    <row r="101" customFormat="false" ht="15" hidden="false" customHeight="false" outlineLevel="0" collapsed="false">
      <c r="A101" s="2" t="s">
        <v>8</v>
      </c>
      <c r="B101" s="2" t="s">
        <v>92</v>
      </c>
      <c r="C101" s="3" t="n">
        <v>45991</v>
      </c>
      <c r="D101" s="2" t="str">
        <f aca="false">TEXT(C101,"YYYY-MM")</f>
        <v>2025-11</v>
      </c>
      <c r="E101" s="4" t="s">
        <v>94</v>
      </c>
      <c r="F101" s="4" t="s">
        <v>87</v>
      </c>
      <c r="G101" s="5" t="n">
        <v>10780</v>
      </c>
      <c r="H101" s="4" t="s">
        <v>95</v>
      </c>
    </row>
    <row r="102" customFormat="false" ht="15" hidden="false" customHeight="false" outlineLevel="0" collapsed="false">
      <c r="A102" s="2" t="s">
        <v>8</v>
      </c>
      <c r="B102" s="2" t="s">
        <v>92</v>
      </c>
      <c r="C102" s="3" t="n">
        <v>45991</v>
      </c>
      <c r="D102" s="2" t="str">
        <f aca="false">TEXT(C102,"YYYY-MM")</f>
        <v>2025-11</v>
      </c>
      <c r="E102" s="4" t="s">
        <v>14</v>
      </c>
      <c r="F102" s="4" t="s">
        <v>15</v>
      </c>
      <c r="G102" s="5" t="n">
        <v>4395</v>
      </c>
      <c r="H102" s="2"/>
    </row>
    <row r="103" customFormat="false" ht="15" hidden="false" customHeight="false" outlineLevel="0" collapsed="false">
      <c r="A103" s="2" t="s">
        <v>8</v>
      </c>
      <c r="B103" s="2" t="s">
        <v>92</v>
      </c>
      <c r="C103" s="3" t="n">
        <v>45991</v>
      </c>
      <c r="D103" s="2" t="str">
        <f aca="false">TEXT(C103,"YYYY-MM")</f>
        <v>2025-11</v>
      </c>
      <c r="E103" s="4" t="s">
        <v>14</v>
      </c>
      <c r="F103" s="4" t="s">
        <v>15</v>
      </c>
      <c r="G103" s="5" t="n">
        <v>1544</v>
      </c>
      <c r="H103" s="2"/>
    </row>
    <row r="104" customFormat="false" ht="15" hidden="false" customHeight="false" outlineLevel="0" collapsed="false">
      <c r="A104" s="2" t="s">
        <v>8</v>
      </c>
      <c r="B104" s="2" t="s">
        <v>92</v>
      </c>
      <c r="C104" s="3" t="n">
        <v>45991</v>
      </c>
      <c r="D104" s="2" t="str">
        <f aca="false">TEXT(C104,"YYYY-MM")</f>
        <v>2025-11</v>
      </c>
      <c r="E104" s="4" t="s">
        <v>14</v>
      </c>
      <c r="F104" s="4" t="s">
        <v>15</v>
      </c>
      <c r="G104" s="5" t="n">
        <v>1764</v>
      </c>
      <c r="H104" s="2"/>
    </row>
    <row r="105" customFormat="false" ht="15" hidden="false" customHeight="false" outlineLevel="0" collapsed="false">
      <c r="A105" s="2" t="s">
        <v>8</v>
      </c>
      <c r="B105" s="2" t="s">
        <v>92</v>
      </c>
      <c r="C105" s="3" t="n">
        <v>45991</v>
      </c>
      <c r="D105" s="2" t="str">
        <f aca="false">TEXT(C105,"YYYY-MM")</f>
        <v>2025-11</v>
      </c>
      <c r="E105" s="4" t="s">
        <v>14</v>
      </c>
      <c r="F105" s="4" t="s">
        <v>15</v>
      </c>
      <c r="G105" s="5" t="n">
        <v>1544</v>
      </c>
      <c r="H105" s="2"/>
    </row>
    <row r="106" customFormat="false" ht="15" hidden="false" customHeight="false" outlineLevel="0" collapsed="false">
      <c r="A106" s="2" t="s">
        <v>8</v>
      </c>
      <c r="B106" s="2" t="s">
        <v>92</v>
      </c>
      <c r="C106" s="3" t="n">
        <v>45991</v>
      </c>
      <c r="D106" s="2" t="str">
        <f aca="false">TEXT(C106,"YYYY-MM")</f>
        <v>2025-11</v>
      </c>
      <c r="E106" s="4" t="s">
        <v>14</v>
      </c>
      <c r="F106" s="4" t="s">
        <v>15</v>
      </c>
      <c r="G106" s="5" t="n">
        <v>2691</v>
      </c>
      <c r="H106" s="2"/>
    </row>
    <row r="107" customFormat="false" ht="15" hidden="false" customHeight="false" outlineLevel="0" collapsed="false">
      <c r="A107" s="2" t="s">
        <v>8</v>
      </c>
      <c r="B107" s="2" t="s">
        <v>92</v>
      </c>
      <c r="C107" s="3" t="n">
        <v>45992</v>
      </c>
      <c r="D107" s="2" t="str">
        <f aca="false">TEXT(C107,"YYYY-MM")</f>
        <v>2025-12</v>
      </c>
      <c r="E107" s="2" t="s">
        <v>19</v>
      </c>
      <c r="F107" s="4" t="s">
        <v>15</v>
      </c>
      <c r="G107" s="5" t="n">
        <v>5121</v>
      </c>
      <c r="H107" s="2"/>
    </row>
    <row r="108" customFormat="false" ht="15" hidden="false" customHeight="false" outlineLevel="0" collapsed="false">
      <c r="A108" s="2" t="s">
        <v>8</v>
      </c>
      <c r="B108" s="2" t="s">
        <v>92</v>
      </c>
      <c r="C108" s="3" t="n">
        <v>45993</v>
      </c>
      <c r="D108" s="2" t="str">
        <f aca="false">TEXT(C108,"YYYY-MM")</f>
        <v>2025-12</v>
      </c>
      <c r="E108" s="4" t="s">
        <v>96</v>
      </c>
      <c r="F108" s="4" t="s">
        <v>11</v>
      </c>
      <c r="G108" s="5" t="n">
        <v>2685</v>
      </c>
      <c r="H108" s="2"/>
    </row>
    <row r="109" customFormat="false" ht="15" hidden="false" customHeight="false" outlineLevel="0" collapsed="false">
      <c r="A109" s="2" t="s">
        <v>8</v>
      </c>
      <c r="B109" s="2" t="s">
        <v>92</v>
      </c>
      <c r="C109" s="3" t="n">
        <v>45993</v>
      </c>
      <c r="D109" s="2" t="str">
        <f aca="false">TEXT(C109,"YYYY-MM")</f>
        <v>2025-12</v>
      </c>
      <c r="E109" s="4" t="s">
        <v>97</v>
      </c>
      <c r="F109" s="4" t="s">
        <v>13</v>
      </c>
      <c r="G109" s="5" t="n">
        <v>1500</v>
      </c>
      <c r="H109" s="4" t="s">
        <v>74</v>
      </c>
    </row>
    <row r="110" customFormat="false" ht="15" hidden="false" customHeight="false" outlineLevel="0" collapsed="false">
      <c r="A110" s="2" t="s">
        <v>8</v>
      </c>
      <c r="B110" s="2" t="s">
        <v>92</v>
      </c>
      <c r="C110" s="3" t="n">
        <v>45993</v>
      </c>
      <c r="D110" s="2" t="str">
        <f aca="false">TEXT(C110,"YYYY-MM")</f>
        <v>2025-12</v>
      </c>
      <c r="E110" s="4" t="s">
        <v>98</v>
      </c>
      <c r="F110" s="4" t="s">
        <v>37</v>
      </c>
      <c r="G110" s="5" t="n">
        <v>1760</v>
      </c>
      <c r="H110" s="2"/>
    </row>
    <row r="111" customFormat="false" ht="15" hidden="false" customHeight="false" outlineLevel="0" collapsed="false">
      <c r="A111" s="2" t="s">
        <v>8</v>
      </c>
      <c r="B111" s="2" t="s">
        <v>92</v>
      </c>
      <c r="C111" s="3" t="n">
        <v>45994</v>
      </c>
      <c r="D111" s="2" t="str">
        <f aca="false">TEXT(C111,"YYYY-MM")</f>
        <v>2025-12</v>
      </c>
      <c r="E111" s="4" t="s">
        <v>38</v>
      </c>
      <c r="F111" s="4" t="s">
        <v>22</v>
      </c>
      <c r="G111" s="5" t="n">
        <v>1380</v>
      </c>
      <c r="H111" s="2"/>
    </row>
    <row r="112" customFormat="false" ht="15" hidden="false" customHeight="false" outlineLevel="0" collapsed="false">
      <c r="A112" s="2" t="s">
        <v>8</v>
      </c>
      <c r="B112" s="2" t="s">
        <v>92</v>
      </c>
      <c r="C112" s="3" t="n">
        <v>45995</v>
      </c>
      <c r="D112" s="2" t="str">
        <f aca="false">TEXT(C112,"YYYY-MM")</f>
        <v>2025-12</v>
      </c>
      <c r="E112" s="2" t="s">
        <v>34</v>
      </c>
      <c r="F112" s="4" t="s">
        <v>35</v>
      </c>
      <c r="G112" s="5" t="n">
        <v>1500</v>
      </c>
      <c r="H112" s="2"/>
    </row>
    <row r="113" customFormat="false" ht="15" hidden="false" customHeight="false" outlineLevel="0" collapsed="false">
      <c r="A113" s="2" t="s">
        <v>8</v>
      </c>
      <c r="B113" s="2" t="s">
        <v>92</v>
      </c>
      <c r="C113" s="3" t="n">
        <v>45995</v>
      </c>
      <c r="D113" s="2" t="str">
        <f aca="false">TEXT(C113,"YYYY-MM")</f>
        <v>2025-12</v>
      </c>
      <c r="E113" s="4" t="s">
        <v>38</v>
      </c>
      <c r="F113" s="4" t="s">
        <v>22</v>
      </c>
      <c r="G113" s="5" t="n">
        <v>1580</v>
      </c>
      <c r="H113" s="2"/>
    </row>
    <row r="114" customFormat="false" ht="15" hidden="false" customHeight="false" outlineLevel="0" collapsed="false">
      <c r="A114" s="2" t="s">
        <v>8</v>
      </c>
      <c r="B114" s="2" t="s">
        <v>92</v>
      </c>
      <c r="C114" s="3" t="n">
        <v>45995</v>
      </c>
      <c r="D114" s="2" t="str">
        <f aca="false">TEXT(C114,"YYYY-MM")</f>
        <v>2025-12</v>
      </c>
      <c r="E114" s="4" t="s">
        <v>99</v>
      </c>
      <c r="F114" s="4" t="s">
        <v>13</v>
      </c>
      <c r="G114" s="5" t="n">
        <v>1500</v>
      </c>
      <c r="H114" s="4" t="s">
        <v>74</v>
      </c>
    </row>
    <row r="115" customFormat="false" ht="15" hidden="false" customHeight="false" outlineLevel="0" collapsed="false">
      <c r="A115" s="2" t="s">
        <v>8</v>
      </c>
      <c r="B115" s="2" t="s">
        <v>92</v>
      </c>
      <c r="C115" s="3" t="n">
        <v>45996</v>
      </c>
      <c r="D115" s="2" t="str">
        <f aca="false">TEXT(C115,"YYYY-MM")</f>
        <v>2025-12</v>
      </c>
      <c r="E115" s="4" t="s">
        <v>38</v>
      </c>
      <c r="F115" s="4" t="s">
        <v>22</v>
      </c>
      <c r="G115" s="5" t="n">
        <v>1580</v>
      </c>
      <c r="H115" s="2"/>
    </row>
    <row r="116" customFormat="false" ht="15" hidden="false" customHeight="false" outlineLevel="0" collapsed="false">
      <c r="A116" s="2" t="s">
        <v>8</v>
      </c>
      <c r="B116" s="2" t="s">
        <v>92</v>
      </c>
      <c r="C116" s="3" t="n">
        <v>45996</v>
      </c>
      <c r="D116" s="2" t="str">
        <f aca="false">TEXT(C116,"YYYY-MM")</f>
        <v>2025-12</v>
      </c>
      <c r="E116" s="2" t="s">
        <v>44</v>
      </c>
      <c r="F116" s="4" t="s">
        <v>35</v>
      </c>
      <c r="G116" s="5" t="n">
        <v>2900</v>
      </c>
      <c r="H116" s="2"/>
    </row>
    <row r="117" customFormat="false" ht="15" hidden="false" customHeight="false" outlineLevel="0" collapsed="false">
      <c r="A117" s="2" t="s">
        <v>8</v>
      </c>
      <c r="B117" s="2" t="s">
        <v>92</v>
      </c>
      <c r="C117" s="3" t="n">
        <v>45997</v>
      </c>
      <c r="D117" s="2" t="str">
        <f aca="false">TEXT(C117,"YYYY-MM")</f>
        <v>2025-12</v>
      </c>
      <c r="E117" s="4" t="s">
        <v>100</v>
      </c>
      <c r="F117" s="4" t="s">
        <v>22</v>
      </c>
      <c r="G117" s="5" t="n">
        <v>8503</v>
      </c>
      <c r="H117" s="2"/>
    </row>
    <row r="118" customFormat="false" ht="15" hidden="false" customHeight="false" outlineLevel="0" collapsed="false">
      <c r="A118" s="2" t="s">
        <v>8</v>
      </c>
      <c r="B118" s="2" t="s">
        <v>92</v>
      </c>
      <c r="C118" s="3" t="n">
        <v>45997</v>
      </c>
      <c r="D118" s="2" t="str">
        <f aca="false">TEXT(C118,"YYYY-MM")</f>
        <v>2025-12</v>
      </c>
      <c r="E118" s="4" t="s">
        <v>70</v>
      </c>
      <c r="F118" s="4" t="s">
        <v>22</v>
      </c>
      <c r="G118" s="5" t="n">
        <v>3499</v>
      </c>
      <c r="H118" s="2"/>
    </row>
    <row r="119" customFormat="false" ht="15" hidden="false" customHeight="false" outlineLevel="0" collapsed="false">
      <c r="A119" s="2" t="s">
        <v>8</v>
      </c>
      <c r="B119" s="2" t="s">
        <v>92</v>
      </c>
      <c r="C119" s="3" t="n">
        <v>45997</v>
      </c>
      <c r="D119" s="2" t="str">
        <f aca="false">TEXT(C119,"YYYY-MM")</f>
        <v>2025-12</v>
      </c>
      <c r="E119" s="2" t="s">
        <v>12</v>
      </c>
      <c r="F119" s="4" t="s">
        <v>13</v>
      </c>
      <c r="G119" s="5" t="n">
        <v>2800</v>
      </c>
      <c r="H119" s="2"/>
    </row>
    <row r="120" customFormat="false" ht="15" hidden="false" customHeight="false" outlineLevel="0" collapsed="false">
      <c r="A120" s="2" t="s">
        <v>8</v>
      </c>
      <c r="B120" s="2" t="s">
        <v>92</v>
      </c>
      <c r="C120" s="3" t="n">
        <v>45998</v>
      </c>
      <c r="D120" s="2" t="str">
        <f aca="false">TEXT(C120,"YYYY-MM")</f>
        <v>2025-12</v>
      </c>
      <c r="E120" s="4" t="s">
        <v>101</v>
      </c>
      <c r="F120" s="4" t="s">
        <v>22</v>
      </c>
      <c r="G120" s="5" t="n">
        <v>6578</v>
      </c>
      <c r="H120" s="2"/>
    </row>
    <row r="121" customFormat="false" ht="15" hidden="false" customHeight="false" outlineLevel="0" collapsed="false">
      <c r="A121" s="2" t="s">
        <v>8</v>
      </c>
      <c r="B121" s="2" t="s">
        <v>92</v>
      </c>
      <c r="C121" s="3" t="n">
        <v>45998</v>
      </c>
      <c r="D121" s="2" t="str">
        <f aca="false">TEXT(C121,"YYYY-MM")</f>
        <v>2025-12</v>
      </c>
      <c r="E121" s="4" t="s">
        <v>56</v>
      </c>
      <c r="F121" s="4" t="s">
        <v>22</v>
      </c>
      <c r="G121" s="5" t="n">
        <v>920</v>
      </c>
      <c r="H121" s="4" t="s">
        <v>42</v>
      </c>
    </row>
    <row r="122" customFormat="false" ht="15" hidden="false" customHeight="false" outlineLevel="0" collapsed="false">
      <c r="A122" s="2" t="s">
        <v>8</v>
      </c>
      <c r="B122" s="2" t="s">
        <v>92</v>
      </c>
      <c r="C122" s="3" t="n">
        <v>45999</v>
      </c>
      <c r="D122" s="2" t="str">
        <f aca="false">TEXT(C122,"YYYY-MM")</f>
        <v>2025-12</v>
      </c>
      <c r="E122" s="4" t="s">
        <v>38</v>
      </c>
      <c r="F122" s="4" t="s">
        <v>22</v>
      </c>
      <c r="G122" s="5" t="n">
        <v>1580</v>
      </c>
      <c r="H122" s="2"/>
    </row>
    <row r="123" customFormat="false" ht="15" hidden="false" customHeight="false" outlineLevel="0" collapsed="false">
      <c r="A123" s="2" t="s">
        <v>8</v>
      </c>
      <c r="B123" s="2" t="s">
        <v>92</v>
      </c>
      <c r="C123" s="3" t="n">
        <v>46000</v>
      </c>
      <c r="D123" s="2" t="str">
        <f aca="false">TEXT(C123,"YYYY-MM")</f>
        <v>2025-12</v>
      </c>
      <c r="E123" s="4" t="s">
        <v>38</v>
      </c>
      <c r="F123" s="4" t="s">
        <v>22</v>
      </c>
      <c r="G123" s="5" t="n">
        <v>1980</v>
      </c>
      <c r="H123" s="2"/>
    </row>
    <row r="124" customFormat="false" ht="15" hidden="false" customHeight="false" outlineLevel="0" collapsed="false">
      <c r="A124" s="2" t="s">
        <v>8</v>
      </c>
      <c r="B124" s="2" t="s">
        <v>92</v>
      </c>
      <c r="C124" s="3" t="n">
        <v>46000</v>
      </c>
      <c r="D124" s="2" t="str">
        <f aca="false">TEXT(C124,"YYYY-MM")</f>
        <v>2025-12</v>
      </c>
      <c r="E124" s="2" t="s">
        <v>52</v>
      </c>
      <c r="F124" s="4" t="s">
        <v>35</v>
      </c>
      <c r="G124" s="5" t="n">
        <v>1280</v>
      </c>
      <c r="H124" s="2"/>
    </row>
    <row r="125" customFormat="false" ht="15" hidden="false" customHeight="false" outlineLevel="0" collapsed="false">
      <c r="A125" s="2" t="s">
        <v>8</v>
      </c>
      <c r="B125" s="2" t="s">
        <v>92</v>
      </c>
      <c r="C125" s="3" t="n">
        <v>46000</v>
      </c>
      <c r="D125" s="2" t="str">
        <f aca="false">TEXT(C125,"YYYY-MM")</f>
        <v>2025-12</v>
      </c>
      <c r="E125" s="4" t="s">
        <v>64</v>
      </c>
      <c r="F125" s="4" t="s">
        <v>62</v>
      </c>
      <c r="G125" s="5" t="n">
        <v>488200</v>
      </c>
      <c r="H125" s="2"/>
    </row>
    <row r="126" customFormat="false" ht="15" hidden="false" customHeight="false" outlineLevel="0" collapsed="false">
      <c r="A126" s="2" t="s">
        <v>8</v>
      </c>
      <c r="B126" s="2" t="s">
        <v>92</v>
      </c>
      <c r="C126" s="3" t="n">
        <v>46000</v>
      </c>
      <c r="D126" s="2" t="str">
        <f aca="false">TEXT(C126,"YYYY-MM")</f>
        <v>2025-12</v>
      </c>
      <c r="E126" s="4" t="s">
        <v>61</v>
      </c>
      <c r="F126" s="4" t="s">
        <v>62</v>
      </c>
      <c r="G126" s="5" t="n">
        <v>4000</v>
      </c>
      <c r="H126" s="4" t="s">
        <v>63</v>
      </c>
    </row>
    <row r="127" customFormat="false" ht="15" hidden="false" customHeight="false" outlineLevel="0" collapsed="false">
      <c r="A127" s="2" t="s">
        <v>8</v>
      </c>
      <c r="B127" s="2" t="s">
        <v>92</v>
      </c>
      <c r="C127" s="3" t="n">
        <v>46001</v>
      </c>
      <c r="D127" s="2" t="str">
        <f aca="false">TEXT(C127,"YYYY-MM")</f>
        <v>2025-12</v>
      </c>
      <c r="E127" s="4" t="s">
        <v>38</v>
      </c>
      <c r="F127" s="4" t="s">
        <v>22</v>
      </c>
      <c r="G127" s="5" t="n">
        <v>3160</v>
      </c>
      <c r="H127" s="2"/>
    </row>
    <row r="128" customFormat="false" ht="15" hidden="false" customHeight="false" outlineLevel="0" collapsed="false">
      <c r="A128" s="2" t="s">
        <v>8</v>
      </c>
      <c r="B128" s="2" t="s">
        <v>92</v>
      </c>
      <c r="C128" s="3" t="n">
        <v>46001</v>
      </c>
      <c r="D128" s="2" t="str">
        <f aca="false">TEXT(C128,"YYYY-MM")</f>
        <v>2025-12</v>
      </c>
      <c r="E128" s="2" t="s">
        <v>34</v>
      </c>
      <c r="F128" s="4" t="s">
        <v>35</v>
      </c>
      <c r="G128" s="5" t="n">
        <v>750</v>
      </c>
      <c r="H128" s="2"/>
    </row>
    <row r="129" customFormat="false" ht="15" hidden="false" customHeight="false" outlineLevel="0" collapsed="false">
      <c r="A129" s="2" t="s">
        <v>8</v>
      </c>
      <c r="B129" s="2" t="s">
        <v>92</v>
      </c>
      <c r="C129" s="3" t="n">
        <v>46001</v>
      </c>
      <c r="D129" s="2" t="str">
        <f aca="false">TEXT(C129,"YYYY-MM")</f>
        <v>2025-12</v>
      </c>
      <c r="E129" s="4" t="s">
        <v>102</v>
      </c>
      <c r="F129" s="4" t="s">
        <v>37</v>
      </c>
      <c r="G129" s="5" t="n">
        <v>129800</v>
      </c>
      <c r="H129" s="4" t="s">
        <v>103</v>
      </c>
    </row>
    <row r="130" customFormat="false" ht="15" hidden="false" customHeight="false" outlineLevel="0" collapsed="false">
      <c r="A130" s="2" t="s">
        <v>8</v>
      </c>
      <c r="B130" s="2" t="s">
        <v>92</v>
      </c>
      <c r="C130" s="3" t="n">
        <v>46002</v>
      </c>
      <c r="D130" s="2" t="str">
        <f aca="false">TEXT(C130,"YYYY-MM")</f>
        <v>2025-12</v>
      </c>
      <c r="E130" s="4" t="s">
        <v>38</v>
      </c>
      <c r="F130" s="4" t="s">
        <v>22</v>
      </c>
      <c r="G130" s="5" t="n">
        <v>1580</v>
      </c>
      <c r="H130" s="2"/>
    </row>
    <row r="131" customFormat="false" ht="15" hidden="false" customHeight="false" outlineLevel="0" collapsed="false">
      <c r="A131" s="2" t="s">
        <v>8</v>
      </c>
      <c r="B131" s="2" t="s">
        <v>92</v>
      </c>
      <c r="C131" s="3" t="n">
        <v>46002</v>
      </c>
      <c r="D131" s="2" t="str">
        <f aca="false">TEXT(C131,"YYYY-MM")</f>
        <v>2025-12</v>
      </c>
      <c r="E131" s="4" t="s">
        <v>104</v>
      </c>
      <c r="F131" s="4" t="s">
        <v>105</v>
      </c>
      <c r="G131" s="5" t="n">
        <v>140</v>
      </c>
      <c r="H131" s="2"/>
    </row>
    <row r="132" customFormat="false" ht="15" hidden="false" customHeight="false" outlineLevel="0" collapsed="false">
      <c r="A132" s="2" t="s">
        <v>8</v>
      </c>
      <c r="B132" s="2" t="s">
        <v>92</v>
      </c>
      <c r="C132" s="3" t="n">
        <v>46003</v>
      </c>
      <c r="D132" s="2" t="str">
        <f aca="false">TEXT(C132,"YYYY-MM")</f>
        <v>2025-12</v>
      </c>
      <c r="E132" s="2" t="s">
        <v>57</v>
      </c>
      <c r="F132" s="4" t="s">
        <v>58</v>
      </c>
      <c r="G132" s="5" t="n">
        <v>50000</v>
      </c>
      <c r="H132" s="4" t="s">
        <v>59</v>
      </c>
    </row>
    <row r="133" customFormat="false" ht="15" hidden="false" customHeight="false" outlineLevel="0" collapsed="false">
      <c r="A133" s="2" t="s">
        <v>8</v>
      </c>
      <c r="B133" s="2" t="s">
        <v>92</v>
      </c>
      <c r="C133" s="3" t="n">
        <v>46003</v>
      </c>
      <c r="D133" s="2" t="str">
        <f aca="false">TEXT(C133,"YYYY-MM")</f>
        <v>2025-12</v>
      </c>
      <c r="E133" s="2" t="s">
        <v>106</v>
      </c>
      <c r="F133" s="4" t="s">
        <v>37</v>
      </c>
      <c r="G133" s="5" t="n">
        <v>6033</v>
      </c>
      <c r="H133" s="2"/>
    </row>
    <row r="134" customFormat="false" ht="15" hidden="false" customHeight="false" outlineLevel="0" collapsed="false">
      <c r="A134" s="2" t="s">
        <v>8</v>
      </c>
      <c r="B134" s="2" t="s">
        <v>92</v>
      </c>
      <c r="C134" s="3" t="n">
        <v>46003</v>
      </c>
      <c r="D134" s="2" t="str">
        <f aca="false">TEXT(C134,"YYYY-MM")</f>
        <v>2025-12</v>
      </c>
      <c r="E134" s="4" t="s">
        <v>107</v>
      </c>
      <c r="F134" s="4" t="s">
        <v>37</v>
      </c>
      <c r="G134" s="5" t="n">
        <v>16852</v>
      </c>
      <c r="H134" s="2"/>
    </row>
    <row r="135" customFormat="false" ht="15" hidden="false" customHeight="false" outlineLevel="0" collapsed="false">
      <c r="A135" s="2" t="s">
        <v>8</v>
      </c>
      <c r="B135" s="2" t="s">
        <v>92</v>
      </c>
      <c r="C135" s="3" t="n">
        <v>46003</v>
      </c>
      <c r="D135" s="2" t="str">
        <f aca="false">TEXT(C135,"YYYY-MM")</f>
        <v>2025-12</v>
      </c>
      <c r="E135" s="4" t="s">
        <v>45</v>
      </c>
      <c r="F135" s="4" t="s">
        <v>28</v>
      </c>
      <c r="G135" s="5" t="n">
        <v>4370</v>
      </c>
      <c r="H135" s="2"/>
    </row>
    <row r="136" customFormat="false" ht="15" hidden="false" customHeight="false" outlineLevel="0" collapsed="false">
      <c r="A136" s="2" t="s">
        <v>8</v>
      </c>
      <c r="B136" s="2" t="s">
        <v>92</v>
      </c>
      <c r="C136" s="3" t="n">
        <v>46003</v>
      </c>
      <c r="D136" s="2" t="str">
        <f aca="false">TEXT(C136,"YYYY-MM")</f>
        <v>2025-12</v>
      </c>
      <c r="E136" s="4" t="s">
        <v>46</v>
      </c>
      <c r="F136" s="4" t="s">
        <v>13</v>
      </c>
      <c r="G136" s="5" t="n">
        <v>10880</v>
      </c>
      <c r="H136" s="4" t="s">
        <v>47</v>
      </c>
    </row>
    <row r="137" customFormat="false" ht="15" hidden="false" customHeight="false" outlineLevel="0" collapsed="false">
      <c r="A137" s="2" t="s">
        <v>8</v>
      </c>
      <c r="B137" s="2" t="s">
        <v>92</v>
      </c>
      <c r="C137" s="3" t="n">
        <v>46003</v>
      </c>
      <c r="D137" s="2" t="str">
        <f aca="false">TEXT(C137,"YYYY-MM")</f>
        <v>2025-12</v>
      </c>
      <c r="E137" s="4" t="s">
        <v>46</v>
      </c>
      <c r="F137" s="4" t="s">
        <v>13</v>
      </c>
      <c r="G137" s="5" t="n">
        <v>10880</v>
      </c>
      <c r="H137" s="4" t="s">
        <v>47</v>
      </c>
    </row>
    <row r="138" customFormat="false" ht="15" hidden="false" customHeight="false" outlineLevel="0" collapsed="false">
      <c r="A138" s="2" t="s">
        <v>8</v>
      </c>
      <c r="B138" s="2" t="s">
        <v>92</v>
      </c>
      <c r="C138" s="3" t="n">
        <v>46003</v>
      </c>
      <c r="D138" s="2" t="str">
        <f aca="false">TEXT(C138,"YYYY-MM")</f>
        <v>2025-12</v>
      </c>
      <c r="E138" s="4" t="s">
        <v>108</v>
      </c>
      <c r="F138" s="4" t="s">
        <v>37</v>
      </c>
      <c r="G138" s="5" t="n">
        <v>10340</v>
      </c>
      <c r="H138" s="2"/>
    </row>
    <row r="139" customFormat="false" ht="15" hidden="false" customHeight="false" outlineLevel="0" collapsed="false">
      <c r="A139" s="2" t="s">
        <v>8</v>
      </c>
      <c r="B139" s="2" t="s">
        <v>92</v>
      </c>
      <c r="C139" s="3" t="n">
        <v>46003</v>
      </c>
      <c r="D139" s="2" t="str">
        <f aca="false">TEXT(C139,"YYYY-MM")</f>
        <v>2025-12</v>
      </c>
      <c r="E139" s="4" t="s">
        <v>109</v>
      </c>
      <c r="F139" s="4" t="s">
        <v>105</v>
      </c>
      <c r="G139" s="5" t="n">
        <v>7616</v>
      </c>
      <c r="H139" s="2"/>
    </row>
    <row r="140" customFormat="false" ht="15" hidden="false" customHeight="false" outlineLevel="0" collapsed="false">
      <c r="A140" s="2" t="s">
        <v>8</v>
      </c>
      <c r="B140" s="2" t="s">
        <v>92</v>
      </c>
      <c r="C140" s="3" t="n">
        <v>46004</v>
      </c>
      <c r="D140" s="2" t="str">
        <f aca="false">TEXT(C140,"YYYY-MM")</f>
        <v>2025-12</v>
      </c>
      <c r="E140" s="2" t="s">
        <v>57</v>
      </c>
      <c r="F140" s="4" t="s">
        <v>58</v>
      </c>
      <c r="G140" s="5" t="n">
        <v>27500</v>
      </c>
      <c r="H140" s="4" t="s">
        <v>59</v>
      </c>
    </row>
    <row r="141" customFormat="false" ht="15" hidden="false" customHeight="false" outlineLevel="0" collapsed="false">
      <c r="A141" s="2" t="s">
        <v>8</v>
      </c>
      <c r="B141" s="2" t="s">
        <v>92</v>
      </c>
      <c r="C141" s="3" t="n">
        <v>46006</v>
      </c>
      <c r="D141" s="2" t="str">
        <f aca="false">TEXT(C141,"YYYY-MM")</f>
        <v>2025-12</v>
      </c>
      <c r="E141" s="4" t="s">
        <v>38</v>
      </c>
      <c r="F141" s="4" t="s">
        <v>22</v>
      </c>
      <c r="G141" s="5" t="n">
        <v>1380</v>
      </c>
      <c r="H141" s="2"/>
    </row>
    <row r="142" customFormat="false" ht="15" hidden="false" customHeight="false" outlineLevel="0" collapsed="false">
      <c r="A142" s="2" t="s">
        <v>8</v>
      </c>
      <c r="B142" s="2" t="s">
        <v>92</v>
      </c>
      <c r="C142" s="3" t="n">
        <v>46007</v>
      </c>
      <c r="D142" s="2" t="str">
        <f aca="false">TEXT(C142,"YYYY-MM")</f>
        <v>2025-12</v>
      </c>
      <c r="E142" s="4" t="s">
        <v>110</v>
      </c>
      <c r="F142" s="4" t="s">
        <v>22</v>
      </c>
      <c r="G142" s="5" t="n">
        <v>2590</v>
      </c>
      <c r="H142" s="2"/>
    </row>
    <row r="143" customFormat="false" ht="15" hidden="false" customHeight="false" outlineLevel="0" collapsed="false">
      <c r="A143" s="2" t="s">
        <v>8</v>
      </c>
      <c r="B143" s="2" t="s">
        <v>92</v>
      </c>
      <c r="C143" s="3" t="n">
        <v>46007</v>
      </c>
      <c r="D143" s="2" t="str">
        <f aca="false">TEXT(C143,"YYYY-MM")</f>
        <v>2025-12</v>
      </c>
      <c r="E143" s="4" t="s">
        <v>46</v>
      </c>
      <c r="F143" s="4" t="s">
        <v>13</v>
      </c>
      <c r="G143" s="5" t="n">
        <v>10680</v>
      </c>
      <c r="H143" s="4" t="s">
        <v>47</v>
      </c>
    </row>
    <row r="144" customFormat="false" ht="15" hidden="false" customHeight="false" outlineLevel="0" collapsed="false">
      <c r="A144" s="2" t="s">
        <v>8</v>
      </c>
      <c r="B144" s="2" t="s">
        <v>92</v>
      </c>
      <c r="C144" s="3" t="n">
        <v>46007</v>
      </c>
      <c r="D144" s="2" t="str">
        <f aca="false">TEXT(C144,"YYYY-MM")</f>
        <v>2025-12</v>
      </c>
      <c r="E144" s="4" t="s">
        <v>46</v>
      </c>
      <c r="F144" s="4" t="s">
        <v>13</v>
      </c>
      <c r="G144" s="5" t="n">
        <v>10680</v>
      </c>
      <c r="H144" s="4" t="s">
        <v>47</v>
      </c>
    </row>
    <row r="145" customFormat="false" ht="15" hidden="false" customHeight="false" outlineLevel="0" collapsed="false">
      <c r="A145" s="2" t="s">
        <v>8</v>
      </c>
      <c r="B145" s="2" t="s">
        <v>92</v>
      </c>
      <c r="C145" s="3" t="n">
        <v>46008</v>
      </c>
      <c r="D145" s="2" t="str">
        <f aca="false">TEXT(C145,"YYYY-MM")</f>
        <v>2025-12</v>
      </c>
      <c r="E145" s="4" t="s">
        <v>111</v>
      </c>
      <c r="F145" s="4" t="s">
        <v>58</v>
      </c>
      <c r="G145" s="5" t="n">
        <v>31650</v>
      </c>
      <c r="H145" s="2"/>
    </row>
    <row r="146" customFormat="false" ht="15" hidden="false" customHeight="false" outlineLevel="0" collapsed="false">
      <c r="A146" s="2" t="s">
        <v>8</v>
      </c>
      <c r="B146" s="2" t="s">
        <v>92</v>
      </c>
      <c r="C146" s="3" t="n">
        <v>46009</v>
      </c>
      <c r="D146" s="2" t="str">
        <f aca="false">TEXT(C146,"YYYY-MM")</f>
        <v>2025-12</v>
      </c>
      <c r="E146" s="2" t="s">
        <v>29</v>
      </c>
      <c r="F146" s="4" t="s">
        <v>17</v>
      </c>
      <c r="G146" s="5" t="n">
        <v>6999</v>
      </c>
      <c r="H146" s="4" t="s">
        <v>30</v>
      </c>
    </row>
    <row r="147" customFormat="false" ht="15" hidden="false" customHeight="false" outlineLevel="0" collapsed="false">
      <c r="A147" s="2" t="s">
        <v>8</v>
      </c>
      <c r="B147" s="2" t="s">
        <v>92</v>
      </c>
      <c r="C147" s="3" t="n">
        <v>46010</v>
      </c>
      <c r="D147" s="2" t="str">
        <f aca="false">TEXT(C147,"YYYY-MM")</f>
        <v>2025-12</v>
      </c>
      <c r="E147" s="4" t="s">
        <v>112</v>
      </c>
      <c r="F147" s="4" t="s">
        <v>22</v>
      </c>
      <c r="G147" s="5" t="n">
        <v>2068</v>
      </c>
      <c r="H147" s="4" t="s">
        <v>42</v>
      </c>
    </row>
    <row r="148" customFormat="false" ht="15" hidden="false" customHeight="false" outlineLevel="0" collapsed="false">
      <c r="A148" s="2" t="s">
        <v>8</v>
      </c>
      <c r="B148" s="2" t="s">
        <v>92</v>
      </c>
      <c r="C148" s="3" t="n">
        <v>46010</v>
      </c>
      <c r="D148" s="2" t="str">
        <f aca="false">TEXT(C148,"YYYY-MM")</f>
        <v>2025-12</v>
      </c>
      <c r="E148" s="4" t="s">
        <v>113</v>
      </c>
      <c r="F148" s="4" t="s">
        <v>13</v>
      </c>
      <c r="G148" s="5" t="n">
        <v>1700</v>
      </c>
      <c r="H148" s="4" t="s">
        <v>74</v>
      </c>
    </row>
    <row r="149" customFormat="false" ht="15" hidden="false" customHeight="false" outlineLevel="0" collapsed="false">
      <c r="A149" s="2" t="s">
        <v>8</v>
      </c>
      <c r="B149" s="2" t="s">
        <v>92</v>
      </c>
      <c r="C149" s="3" t="n">
        <v>46010</v>
      </c>
      <c r="D149" s="2" t="str">
        <f aca="false">TEXT(C149,"YYYY-MM")</f>
        <v>2025-12</v>
      </c>
      <c r="E149" s="4" t="s">
        <v>111</v>
      </c>
      <c r="F149" s="4" t="s">
        <v>58</v>
      </c>
      <c r="G149" s="5" t="n">
        <v>40618</v>
      </c>
      <c r="H149" s="2"/>
    </row>
    <row r="150" customFormat="false" ht="15" hidden="false" customHeight="false" outlineLevel="0" collapsed="false">
      <c r="A150" s="2" t="s">
        <v>8</v>
      </c>
      <c r="B150" s="2" t="s">
        <v>92</v>
      </c>
      <c r="C150" s="3" t="n">
        <v>46012</v>
      </c>
      <c r="D150" s="2" t="str">
        <f aca="false">TEXT(C150,"YYYY-MM")</f>
        <v>2025-12</v>
      </c>
      <c r="E150" s="2" t="s">
        <v>114</v>
      </c>
      <c r="F150" s="4" t="s">
        <v>28</v>
      </c>
      <c r="G150" s="5" t="n">
        <v>55000</v>
      </c>
      <c r="H150" s="4" t="s">
        <v>115</v>
      </c>
    </row>
    <row r="151" customFormat="false" ht="15" hidden="false" customHeight="false" outlineLevel="0" collapsed="false">
      <c r="A151" s="2" t="s">
        <v>8</v>
      </c>
      <c r="B151" s="2" t="s">
        <v>92</v>
      </c>
      <c r="C151" s="3" t="n">
        <v>46012</v>
      </c>
      <c r="D151" s="2" t="str">
        <f aca="false">TEXT(C151,"YYYY-MM")</f>
        <v>2025-12</v>
      </c>
      <c r="E151" s="4" t="s">
        <v>85</v>
      </c>
      <c r="F151" s="4" t="s">
        <v>22</v>
      </c>
      <c r="G151" s="5" t="n">
        <v>9878</v>
      </c>
      <c r="H151" s="2"/>
    </row>
    <row r="152" customFormat="false" ht="15" hidden="false" customHeight="false" outlineLevel="0" collapsed="false">
      <c r="A152" s="2" t="s">
        <v>8</v>
      </c>
      <c r="B152" s="2" t="s">
        <v>92</v>
      </c>
      <c r="C152" s="3" t="n">
        <v>46012</v>
      </c>
      <c r="D152" s="2" t="str">
        <f aca="false">TEXT(C152,"YYYY-MM")</f>
        <v>2025-12</v>
      </c>
      <c r="E152" s="4" t="s">
        <v>112</v>
      </c>
      <c r="F152" s="4" t="s">
        <v>22</v>
      </c>
      <c r="G152" s="5" t="n">
        <v>3245</v>
      </c>
      <c r="H152" s="4" t="s">
        <v>42</v>
      </c>
    </row>
    <row r="153" customFormat="false" ht="15" hidden="false" customHeight="false" outlineLevel="0" collapsed="false">
      <c r="A153" s="2" t="s">
        <v>8</v>
      </c>
      <c r="B153" s="2" t="s">
        <v>92</v>
      </c>
      <c r="C153" s="3" t="n">
        <v>46012</v>
      </c>
      <c r="D153" s="2" t="str">
        <f aca="false">TEXT(C153,"YYYY-MM")</f>
        <v>2025-12</v>
      </c>
      <c r="E153" s="4" t="s">
        <v>116</v>
      </c>
      <c r="F153" s="4" t="s">
        <v>17</v>
      </c>
      <c r="G153" s="5" t="n">
        <v>990</v>
      </c>
      <c r="H153" s="4" t="s">
        <v>18</v>
      </c>
    </row>
    <row r="154" customFormat="false" ht="15" hidden="false" customHeight="false" outlineLevel="0" collapsed="false">
      <c r="A154" s="2" t="s">
        <v>8</v>
      </c>
      <c r="B154" s="2" t="s">
        <v>92</v>
      </c>
      <c r="C154" s="3" t="n">
        <v>46013</v>
      </c>
      <c r="D154" s="2" t="str">
        <f aca="false">TEXT(C154,"YYYY-MM")</f>
        <v>2025-12</v>
      </c>
      <c r="E154" s="4" t="s">
        <v>38</v>
      </c>
      <c r="F154" s="4" t="s">
        <v>22</v>
      </c>
      <c r="G154" s="5" t="n">
        <v>1580</v>
      </c>
      <c r="H154" s="2"/>
    </row>
    <row r="155" customFormat="false" ht="15" hidden="false" customHeight="false" outlineLevel="0" collapsed="false">
      <c r="A155" s="2" t="s">
        <v>8</v>
      </c>
      <c r="B155" s="2" t="s">
        <v>92</v>
      </c>
      <c r="C155" s="3" t="n">
        <v>46014</v>
      </c>
      <c r="D155" s="2" t="str">
        <f aca="false">TEXT(C155,"YYYY-MM")</f>
        <v>2025-12</v>
      </c>
      <c r="E155" s="2" t="s">
        <v>34</v>
      </c>
      <c r="F155" s="4" t="s">
        <v>35</v>
      </c>
      <c r="G155" s="5" t="n">
        <v>740</v>
      </c>
      <c r="H155" s="2"/>
    </row>
    <row r="156" customFormat="false" ht="15" hidden="false" customHeight="false" outlineLevel="0" collapsed="false">
      <c r="A156" s="2" t="s">
        <v>8</v>
      </c>
      <c r="B156" s="2" t="s">
        <v>92</v>
      </c>
      <c r="C156" s="3" t="n">
        <v>46014</v>
      </c>
      <c r="D156" s="2" t="str">
        <f aca="false">TEXT(C156,"YYYY-MM")</f>
        <v>2025-12</v>
      </c>
      <c r="E156" s="4" t="s">
        <v>91</v>
      </c>
      <c r="F156" s="4" t="s">
        <v>37</v>
      </c>
      <c r="G156" s="5" t="n">
        <v>15980</v>
      </c>
      <c r="H156" s="2"/>
    </row>
    <row r="157" customFormat="false" ht="15" hidden="false" customHeight="false" outlineLevel="0" collapsed="false">
      <c r="A157" s="2" t="s">
        <v>8</v>
      </c>
      <c r="B157" s="2" t="s">
        <v>92</v>
      </c>
      <c r="C157" s="3" t="n">
        <v>46014</v>
      </c>
      <c r="D157" s="2" t="str">
        <f aca="false">TEXT(C157,"YYYY-MM")</f>
        <v>2025-12</v>
      </c>
      <c r="E157" s="4" t="s">
        <v>38</v>
      </c>
      <c r="F157" s="4" t="s">
        <v>22</v>
      </c>
      <c r="G157" s="5" t="n">
        <v>1580</v>
      </c>
      <c r="H157" s="2"/>
    </row>
    <row r="158" customFormat="false" ht="15" hidden="false" customHeight="false" outlineLevel="0" collapsed="false">
      <c r="A158" s="2" t="s">
        <v>8</v>
      </c>
      <c r="B158" s="2" t="s">
        <v>92</v>
      </c>
      <c r="C158" s="3" t="n">
        <v>46015</v>
      </c>
      <c r="D158" s="2" t="str">
        <f aca="false">TEXT(C158,"YYYY-MM")</f>
        <v>2025-12</v>
      </c>
      <c r="E158" s="2" t="s">
        <v>34</v>
      </c>
      <c r="F158" s="4" t="s">
        <v>35</v>
      </c>
      <c r="G158" s="5" t="n">
        <v>3400</v>
      </c>
      <c r="H158" s="2"/>
    </row>
    <row r="159" customFormat="false" ht="15" hidden="false" customHeight="false" outlineLevel="0" collapsed="false">
      <c r="A159" s="2" t="s">
        <v>8</v>
      </c>
      <c r="B159" s="2" t="s">
        <v>92</v>
      </c>
      <c r="C159" s="3" t="n">
        <v>46015</v>
      </c>
      <c r="D159" s="2" t="str">
        <f aca="false">TEXT(C159,"YYYY-MM")</f>
        <v>2025-12</v>
      </c>
      <c r="E159" s="2" t="s">
        <v>106</v>
      </c>
      <c r="F159" s="4" t="s">
        <v>37</v>
      </c>
      <c r="G159" s="5" t="n">
        <v>3542</v>
      </c>
      <c r="H159" s="2"/>
    </row>
    <row r="160" customFormat="false" ht="15" hidden="false" customHeight="false" outlineLevel="0" collapsed="false">
      <c r="A160" s="2" t="s">
        <v>8</v>
      </c>
      <c r="B160" s="2" t="s">
        <v>92</v>
      </c>
      <c r="C160" s="3" t="n">
        <v>46015</v>
      </c>
      <c r="D160" s="2" t="str">
        <f aca="false">TEXT(C160,"YYYY-MM")</f>
        <v>2025-12</v>
      </c>
      <c r="E160" s="2" t="s">
        <v>106</v>
      </c>
      <c r="F160" s="4" t="s">
        <v>37</v>
      </c>
      <c r="G160" s="5" t="n">
        <v>3542</v>
      </c>
      <c r="H160" s="2"/>
    </row>
    <row r="161" customFormat="false" ht="15" hidden="false" customHeight="false" outlineLevel="0" collapsed="false">
      <c r="A161" s="2" t="s">
        <v>8</v>
      </c>
      <c r="B161" s="2" t="s">
        <v>92</v>
      </c>
      <c r="C161" s="3" t="n">
        <v>46015</v>
      </c>
      <c r="D161" s="2" t="str">
        <f aca="false">TEXT(C161,"YYYY-MM")</f>
        <v>2025-12</v>
      </c>
      <c r="E161" s="4" t="s">
        <v>117</v>
      </c>
      <c r="F161" s="4" t="s">
        <v>22</v>
      </c>
      <c r="G161" s="5" t="n">
        <v>14400</v>
      </c>
      <c r="H161" s="4" t="s">
        <v>118</v>
      </c>
    </row>
    <row r="162" customFormat="false" ht="15" hidden="false" customHeight="false" outlineLevel="0" collapsed="false">
      <c r="A162" s="2" t="s">
        <v>8</v>
      </c>
      <c r="B162" s="2" t="s">
        <v>92</v>
      </c>
      <c r="C162" s="3" t="n">
        <v>46015</v>
      </c>
      <c r="D162" s="2" t="str">
        <f aca="false">TEXT(C162,"YYYY-MM")</f>
        <v>2025-12</v>
      </c>
      <c r="E162" s="4" t="s">
        <v>111</v>
      </c>
      <c r="F162" s="4" t="s">
        <v>58</v>
      </c>
      <c r="G162" s="5" t="n">
        <v>8124</v>
      </c>
      <c r="H162" s="2"/>
    </row>
    <row r="163" customFormat="false" ht="15" hidden="false" customHeight="false" outlineLevel="0" collapsed="false">
      <c r="A163" s="2" t="s">
        <v>8</v>
      </c>
      <c r="B163" s="2" t="s">
        <v>92</v>
      </c>
      <c r="C163" s="3" t="n">
        <v>46016</v>
      </c>
      <c r="D163" s="2" t="str">
        <f aca="false">TEXT(C163,"YYYY-MM")</f>
        <v>2025-12</v>
      </c>
      <c r="E163" s="4" t="s">
        <v>101</v>
      </c>
      <c r="F163" s="4" t="s">
        <v>22</v>
      </c>
      <c r="G163" s="5" t="n">
        <v>7359</v>
      </c>
      <c r="H163" s="2"/>
    </row>
    <row r="164" customFormat="false" ht="15" hidden="false" customHeight="false" outlineLevel="0" collapsed="false">
      <c r="A164" s="2" t="s">
        <v>8</v>
      </c>
      <c r="B164" s="2" t="s">
        <v>92</v>
      </c>
      <c r="C164" s="3" t="n">
        <v>46016</v>
      </c>
      <c r="D164" s="2" t="str">
        <f aca="false">TEXT(C164,"YYYY-MM")</f>
        <v>2025-12</v>
      </c>
      <c r="E164" s="4" t="s">
        <v>119</v>
      </c>
      <c r="F164" s="4" t="s">
        <v>22</v>
      </c>
      <c r="G164" s="5" t="n">
        <v>1484</v>
      </c>
      <c r="H164" s="2"/>
    </row>
    <row r="165" customFormat="false" ht="15" hidden="false" customHeight="false" outlineLevel="0" collapsed="false">
      <c r="A165" s="2" t="s">
        <v>8</v>
      </c>
      <c r="B165" s="2" t="s">
        <v>92</v>
      </c>
      <c r="C165" s="3" t="n">
        <v>46016</v>
      </c>
      <c r="D165" s="2" t="str">
        <f aca="false">TEXT(C165,"YYYY-MM")</f>
        <v>2025-12</v>
      </c>
      <c r="E165" s="4" t="s">
        <v>78</v>
      </c>
      <c r="F165" s="4" t="s">
        <v>58</v>
      </c>
      <c r="G165" s="5" t="n">
        <v>119988</v>
      </c>
      <c r="H165" s="4" t="s">
        <v>79</v>
      </c>
    </row>
    <row r="166" customFormat="false" ht="15" hidden="false" customHeight="false" outlineLevel="0" collapsed="false">
      <c r="A166" s="2" t="s">
        <v>8</v>
      </c>
      <c r="B166" s="2" t="s">
        <v>92</v>
      </c>
      <c r="C166" s="3" t="n">
        <v>46017</v>
      </c>
      <c r="D166" s="2" t="str">
        <f aca="false">TEXT(C166,"YYYY-MM")</f>
        <v>2025-12</v>
      </c>
      <c r="E166" s="4" t="s">
        <v>81</v>
      </c>
      <c r="F166" s="4" t="s">
        <v>35</v>
      </c>
      <c r="G166" s="5" t="n">
        <v>4980</v>
      </c>
      <c r="H166" s="2"/>
    </row>
    <row r="167" customFormat="false" ht="15" hidden="false" customHeight="false" outlineLevel="0" collapsed="false">
      <c r="A167" s="2" t="s">
        <v>8</v>
      </c>
      <c r="B167" s="2" t="s">
        <v>92</v>
      </c>
      <c r="C167" s="3" t="n">
        <v>46017</v>
      </c>
      <c r="D167" s="2" t="str">
        <f aca="false">TEXT(C167,"YYYY-MM")</f>
        <v>2025-12</v>
      </c>
      <c r="E167" s="2" t="s">
        <v>82</v>
      </c>
      <c r="F167" s="4" t="s">
        <v>15</v>
      </c>
      <c r="G167" s="5" t="n">
        <v>3815</v>
      </c>
      <c r="H167" s="4" t="s">
        <v>83</v>
      </c>
    </row>
    <row r="168" customFormat="false" ht="15" hidden="false" customHeight="false" outlineLevel="0" collapsed="false">
      <c r="A168" s="2" t="s">
        <v>8</v>
      </c>
      <c r="B168" s="2" t="s">
        <v>92</v>
      </c>
      <c r="C168" s="3" t="n">
        <v>46017</v>
      </c>
      <c r="D168" s="2" t="str">
        <f aca="false">TEXT(C168,"YYYY-MM")</f>
        <v>2025-12</v>
      </c>
      <c r="E168" s="4" t="s">
        <v>120</v>
      </c>
      <c r="F168" s="4" t="s">
        <v>13</v>
      </c>
      <c r="G168" s="5" t="n">
        <v>1000</v>
      </c>
      <c r="H168" s="4" t="s">
        <v>74</v>
      </c>
    </row>
    <row r="169" customFormat="false" ht="15" hidden="false" customHeight="false" outlineLevel="0" collapsed="false">
      <c r="A169" s="2" t="s">
        <v>8</v>
      </c>
      <c r="B169" s="2" t="s">
        <v>92</v>
      </c>
      <c r="C169" s="3" t="n">
        <v>46017</v>
      </c>
      <c r="D169" s="2" t="str">
        <f aca="false">TEXT(C169,"YYYY-MM")</f>
        <v>2025-12</v>
      </c>
      <c r="E169" s="4" t="s">
        <v>46</v>
      </c>
      <c r="F169" s="4" t="s">
        <v>13</v>
      </c>
      <c r="G169" s="5" t="n">
        <v>11080</v>
      </c>
      <c r="H169" s="4" t="s">
        <v>47</v>
      </c>
    </row>
    <row r="170" customFormat="false" ht="15" hidden="false" customHeight="false" outlineLevel="0" collapsed="false">
      <c r="A170" s="2" t="s">
        <v>8</v>
      </c>
      <c r="B170" s="2" t="s">
        <v>92</v>
      </c>
      <c r="C170" s="3" t="n">
        <v>46017</v>
      </c>
      <c r="D170" s="2" t="str">
        <f aca="false">TEXT(C170,"YYYY-MM")</f>
        <v>2025-12</v>
      </c>
      <c r="E170" s="4" t="s">
        <v>46</v>
      </c>
      <c r="F170" s="4" t="s">
        <v>13</v>
      </c>
      <c r="G170" s="5" t="n">
        <v>14740</v>
      </c>
      <c r="H170" s="4" t="s">
        <v>47</v>
      </c>
    </row>
    <row r="171" customFormat="false" ht="15" hidden="false" customHeight="false" outlineLevel="0" collapsed="false">
      <c r="A171" s="2" t="s">
        <v>8</v>
      </c>
      <c r="B171" s="2" t="s">
        <v>92</v>
      </c>
      <c r="C171" s="3" t="n">
        <v>46019</v>
      </c>
      <c r="D171" s="2" t="str">
        <f aca="false">TEXT(C171,"YYYY-MM")</f>
        <v>2025-12</v>
      </c>
      <c r="E171" s="4" t="s">
        <v>121</v>
      </c>
      <c r="F171" s="4" t="s">
        <v>37</v>
      </c>
      <c r="G171" s="5" t="n">
        <v>13167</v>
      </c>
      <c r="H171" s="2"/>
    </row>
    <row r="172" customFormat="false" ht="15" hidden="false" customHeight="false" outlineLevel="0" collapsed="false">
      <c r="A172" s="2" t="s">
        <v>8</v>
      </c>
      <c r="B172" s="2" t="s">
        <v>92</v>
      </c>
      <c r="C172" s="3" t="n">
        <v>46020</v>
      </c>
      <c r="D172" s="2" t="str">
        <f aca="false">TEXT(C172,"YYYY-MM")</f>
        <v>2025-12</v>
      </c>
      <c r="E172" s="4" t="s">
        <v>38</v>
      </c>
      <c r="F172" s="4" t="s">
        <v>22</v>
      </c>
      <c r="G172" s="5" t="n">
        <v>1380</v>
      </c>
      <c r="H172" s="2"/>
    </row>
    <row r="173" customFormat="false" ht="15" hidden="false" customHeight="false" outlineLevel="0" collapsed="false">
      <c r="A173" s="2" t="s">
        <v>8</v>
      </c>
      <c r="B173" s="2" t="s">
        <v>92</v>
      </c>
      <c r="C173" s="3" t="n">
        <v>46021</v>
      </c>
      <c r="D173" s="2" t="str">
        <f aca="false">TEXT(C173,"YYYY-MM")</f>
        <v>2025-12</v>
      </c>
      <c r="E173" s="4" t="s">
        <v>94</v>
      </c>
      <c r="F173" s="4" t="s">
        <v>87</v>
      </c>
      <c r="G173" s="5" t="n">
        <v>10780</v>
      </c>
      <c r="H173" s="4" t="s">
        <v>95</v>
      </c>
    </row>
    <row r="174" customFormat="false" ht="15" hidden="false" customHeight="false" outlineLevel="0" collapsed="false">
      <c r="A174" s="2" t="s">
        <v>8</v>
      </c>
      <c r="B174" s="2" t="s">
        <v>92</v>
      </c>
      <c r="C174" s="3" t="n">
        <v>46021</v>
      </c>
      <c r="D174" s="2" t="str">
        <f aca="false">TEXT(C174,"YYYY-MM")</f>
        <v>2025-12</v>
      </c>
      <c r="E174" s="4" t="s">
        <v>86</v>
      </c>
      <c r="F174" s="4" t="s">
        <v>87</v>
      </c>
      <c r="G174" s="5" t="n">
        <v>22000</v>
      </c>
      <c r="H174" s="4" t="s">
        <v>88</v>
      </c>
    </row>
    <row r="175" customFormat="false" ht="15" hidden="false" customHeight="false" outlineLevel="0" collapsed="false">
      <c r="A175" s="2" t="s">
        <v>8</v>
      </c>
      <c r="B175" s="2" t="s">
        <v>92</v>
      </c>
      <c r="C175" s="3" t="n">
        <v>46021</v>
      </c>
      <c r="D175" s="2" t="str">
        <f aca="false">TEXT(C175,"YYYY-MM")</f>
        <v>2025-12</v>
      </c>
      <c r="E175" s="4" t="s">
        <v>122</v>
      </c>
      <c r="F175" s="4" t="s">
        <v>17</v>
      </c>
      <c r="G175" s="5" t="n">
        <v>1000</v>
      </c>
      <c r="H175" s="4" t="s">
        <v>18</v>
      </c>
    </row>
    <row r="176" customFormat="false" ht="15" hidden="false" customHeight="false" outlineLevel="0" collapsed="false">
      <c r="A176" s="2" t="s">
        <v>8</v>
      </c>
      <c r="B176" s="2" t="s">
        <v>92</v>
      </c>
      <c r="C176" s="3" t="n">
        <v>46023</v>
      </c>
      <c r="D176" s="2" t="str">
        <f aca="false">TEXT(C176,"YYYY-MM")</f>
        <v>2026-01</v>
      </c>
      <c r="E176" s="4" t="s">
        <v>123</v>
      </c>
      <c r="F176" s="4" t="s">
        <v>105</v>
      </c>
      <c r="G176" s="5" t="n">
        <v>3421</v>
      </c>
      <c r="H176" s="2"/>
    </row>
    <row r="177" customFormat="false" ht="15" hidden="false" customHeight="false" outlineLevel="0" collapsed="false">
      <c r="A177" s="2" t="s">
        <v>8</v>
      </c>
      <c r="B177" s="2" t="s">
        <v>124</v>
      </c>
      <c r="C177" s="3" t="n">
        <v>46022</v>
      </c>
      <c r="D177" s="2" t="str">
        <f aca="false">TEXT(C177,"YYYY-MM")</f>
        <v>2025-12</v>
      </c>
      <c r="E177" s="4" t="s">
        <v>14</v>
      </c>
      <c r="F177" s="4" t="s">
        <v>15</v>
      </c>
      <c r="G177" s="5" t="n">
        <v>4398</v>
      </c>
      <c r="H177" s="2"/>
    </row>
    <row r="178" customFormat="false" ht="15" hidden="false" customHeight="false" outlineLevel="0" collapsed="false">
      <c r="A178" s="2" t="s">
        <v>8</v>
      </c>
      <c r="B178" s="2" t="s">
        <v>124</v>
      </c>
      <c r="C178" s="3" t="n">
        <v>46022</v>
      </c>
      <c r="D178" s="2" t="str">
        <f aca="false">TEXT(C178,"YYYY-MM")</f>
        <v>2025-12</v>
      </c>
      <c r="E178" s="4" t="s">
        <v>14</v>
      </c>
      <c r="F178" s="4" t="s">
        <v>15</v>
      </c>
      <c r="G178" s="5" t="n">
        <v>1557</v>
      </c>
      <c r="H178" s="2"/>
    </row>
    <row r="179" customFormat="false" ht="15" hidden="false" customHeight="false" outlineLevel="0" collapsed="false">
      <c r="A179" s="2" t="s">
        <v>8</v>
      </c>
      <c r="B179" s="2" t="s">
        <v>124</v>
      </c>
      <c r="C179" s="3" t="n">
        <v>46022</v>
      </c>
      <c r="D179" s="2" t="str">
        <f aca="false">TEXT(C179,"YYYY-MM")</f>
        <v>2025-12</v>
      </c>
      <c r="E179" s="4" t="s">
        <v>14</v>
      </c>
      <c r="F179" s="4" t="s">
        <v>15</v>
      </c>
      <c r="G179" s="5" t="n">
        <v>1764</v>
      </c>
      <c r="H179" s="2"/>
    </row>
    <row r="180" customFormat="false" ht="15" hidden="false" customHeight="false" outlineLevel="0" collapsed="false">
      <c r="A180" s="2" t="s">
        <v>8</v>
      </c>
      <c r="B180" s="2" t="s">
        <v>124</v>
      </c>
      <c r="C180" s="3" t="n">
        <v>46022</v>
      </c>
      <c r="D180" s="2" t="str">
        <f aca="false">TEXT(C180,"YYYY-MM")</f>
        <v>2025-12</v>
      </c>
      <c r="E180" s="4" t="s">
        <v>14</v>
      </c>
      <c r="F180" s="4" t="s">
        <v>15</v>
      </c>
      <c r="G180" s="5" t="n">
        <v>1544</v>
      </c>
      <c r="H180" s="2"/>
    </row>
    <row r="181" customFormat="false" ht="15" hidden="false" customHeight="false" outlineLevel="0" collapsed="false">
      <c r="A181" s="2" t="s">
        <v>8</v>
      </c>
      <c r="B181" s="2" t="s">
        <v>124</v>
      </c>
      <c r="C181" s="3" t="n">
        <v>46022</v>
      </c>
      <c r="D181" s="2" t="str">
        <f aca="false">TEXT(C181,"YYYY-MM")</f>
        <v>2025-12</v>
      </c>
      <c r="E181" s="4" t="s">
        <v>14</v>
      </c>
      <c r="F181" s="4" t="s">
        <v>15</v>
      </c>
      <c r="G181" s="5" t="n">
        <v>2593</v>
      </c>
      <c r="H181" s="2"/>
    </row>
    <row r="182" customFormat="false" ht="15" hidden="false" customHeight="false" outlineLevel="0" collapsed="false">
      <c r="A182" s="2" t="s">
        <v>8</v>
      </c>
      <c r="B182" s="2" t="s">
        <v>124</v>
      </c>
      <c r="C182" s="3" t="n">
        <v>46022</v>
      </c>
      <c r="D182" s="2" t="str">
        <f aca="false">TEXT(C182,"YYYY-MM")</f>
        <v>2025-12</v>
      </c>
      <c r="E182" s="2" t="s">
        <v>24</v>
      </c>
      <c r="F182" s="4" t="s">
        <v>17</v>
      </c>
      <c r="G182" s="5" t="n">
        <v>680</v>
      </c>
      <c r="H182" s="2"/>
    </row>
    <row r="183" customFormat="false" ht="15" hidden="false" customHeight="false" outlineLevel="0" collapsed="false">
      <c r="A183" s="2" t="s">
        <v>8</v>
      </c>
      <c r="B183" s="2" t="s">
        <v>124</v>
      </c>
      <c r="C183" s="3" t="n">
        <v>46022</v>
      </c>
      <c r="D183" s="2" t="str">
        <f aca="false">TEXT(C183,"YYYY-MM")</f>
        <v>2025-12</v>
      </c>
      <c r="E183" s="2" t="s">
        <v>23</v>
      </c>
      <c r="F183" s="4" t="s">
        <v>17</v>
      </c>
      <c r="G183" s="5" t="n">
        <v>520</v>
      </c>
      <c r="H183" s="2"/>
    </row>
    <row r="184" customFormat="false" ht="15" hidden="false" customHeight="false" outlineLevel="0" collapsed="false">
      <c r="A184" s="2" t="s">
        <v>8</v>
      </c>
      <c r="B184" s="2" t="s">
        <v>124</v>
      </c>
      <c r="C184" s="3" t="n">
        <v>46023</v>
      </c>
      <c r="D184" s="2" t="str">
        <f aca="false">TEXT(C184,"YYYY-MM")</f>
        <v>2026-01</v>
      </c>
      <c r="E184" s="2" t="s">
        <v>89</v>
      </c>
      <c r="F184" s="4" t="s">
        <v>35</v>
      </c>
      <c r="G184" s="5" t="n">
        <v>5478</v>
      </c>
      <c r="H184" s="4" t="s">
        <v>90</v>
      </c>
    </row>
    <row r="185" customFormat="false" ht="15" hidden="false" customHeight="false" outlineLevel="0" collapsed="false">
      <c r="A185" s="2" t="s">
        <v>8</v>
      </c>
      <c r="B185" s="2" t="s">
        <v>124</v>
      </c>
      <c r="C185" s="3" t="n">
        <v>46023</v>
      </c>
      <c r="D185" s="2" t="str">
        <f aca="false">TEXT(C185,"YYYY-MM")</f>
        <v>2026-01</v>
      </c>
      <c r="E185" s="2" t="s">
        <v>19</v>
      </c>
      <c r="F185" s="4" t="s">
        <v>15</v>
      </c>
      <c r="G185" s="5" t="n">
        <v>5120</v>
      </c>
      <c r="H185" s="2"/>
    </row>
    <row r="186" customFormat="false" ht="15" hidden="false" customHeight="false" outlineLevel="0" collapsed="false">
      <c r="A186" s="2" t="s">
        <v>8</v>
      </c>
      <c r="B186" s="2" t="s">
        <v>124</v>
      </c>
      <c r="C186" s="3" t="n">
        <v>46024</v>
      </c>
      <c r="D186" s="2" t="str">
        <f aca="false">TEXT(C186,"YYYY-MM")</f>
        <v>2026-01</v>
      </c>
      <c r="E186" s="4" t="s">
        <v>125</v>
      </c>
      <c r="F186" s="4" t="s">
        <v>17</v>
      </c>
      <c r="G186" s="5" t="n">
        <v>4576</v>
      </c>
      <c r="H186" s="4" t="s">
        <v>30</v>
      </c>
    </row>
    <row r="187" customFormat="false" ht="15" hidden="false" customHeight="false" outlineLevel="0" collapsed="false">
      <c r="A187" s="2" t="s">
        <v>8</v>
      </c>
      <c r="B187" s="2" t="s">
        <v>124</v>
      </c>
      <c r="C187" s="3" t="n">
        <v>46024</v>
      </c>
      <c r="D187" s="2" t="str">
        <f aca="false">TEXT(C187,"YYYY-MM")</f>
        <v>2026-01</v>
      </c>
      <c r="E187" s="4" t="s">
        <v>126</v>
      </c>
      <c r="F187" s="4" t="s">
        <v>26</v>
      </c>
      <c r="G187" s="5" t="n">
        <v>5890</v>
      </c>
      <c r="H187" s="2"/>
    </row>
    <row r="188" customFormat="false" ht="15" hidden="false" customHeight="false" outlineLevel="0" collapsed="false">
      <c r="A188" s="2" t="s">
        <v>8</v>
      </c>
      <c r="B188" s="2" t="s">
        <v>124</v>
      </c>
      <c r="C188" s="3" t="n">
        <v>46024</v>
      </c>
      <c r="D188" s="2" t="str">
        <f aca="false">TEXT(C188,"YYYY-MM")</f>
        <v>2026-01</v>
      </c>
      <c r="E188" s="2" t="s">
        <v>24</v>
      </c>
      <c r="F188" s="4" t="s">
        <v>17</v>
      </c>
      <c r="G188" s="5" t="n">
        <v>350</v>
      </c>
      <c r="H188" s="2"/>
    </row>
    <row r="189" customFormat="false" ht="15" hidden="false" customHeight="false" outlineLevel="0" collapsed="false">
      <c r="A189" s="2" t="s">
        <v>8</v>
      </c>
      <c r="B189" s="2" t="s">
        <v>124</v>
      </c>
      <c r="C189" s="3" t="n">
        <v>46024</v>
      </c>
      <c r="D189" s="2" t="str">
        <f aca="false">TEXT(C189,"YYYY-MM")</f>
        <v>2026-01</v>
      </c>
      <c r="E189" s="2" t="s">
        <v>24</v>
      </c>
      <c r="F189" s="4" t="s">
        <v>17</v>
      </c>
      <c r="G189" s="5" t="n">
        <v>630</v>
      </c>
      <c r="H189" s="2"/>
    </row>
    <row r="190" customFormat="false" ht="15" hidden="false" customHeight="false" outlineLevel="0" collapsed="false">
      <c r="A190" s="2" t="s">
        <v>8</v>
      </c>
      <c r="B190" s="2" t="s">
        <v>124</v>
      </c>
      <c r="C190" s="3" t="n">
        <v>46025</v>
      </c>
      <c r="D190" s="2" t="str">
        <f aca="false">TEXT(C190,"YYYY-MM")</f>
        <v>2026-01</v>
      </c>
      <c r="E190" s="4" t="s">
        <v>111</v>
      </c>
      <c r="F190" s="4" t="s">
        <v>58</v>
      </c>
      <c r="G190" s="5" t="n">
        <v>20045</v>
      </c>
      <c r="H190" s="2"/>
    </row>
    <row r="191" customFormat="false" ht="15" hidden="false" customHeight="false" outlineLevel="0" collapsed="false">
      <c r="A191" s="2" t="s">
        <v>8</v>
      </c>
      <c r="B191" s="2" t="s">
        <v>124</v>
      </c>
      <c r="C191" s="3" t="n">
        <v>46026</v>
      </c>
      <c r="D191" s="2" t="str">
        <f aca="false">TEXT(C191,"YYYY-MM")</f>
        <v>2026-01</v>
      </c>
      <c r="E191" s="2" t="s">
        <v>34</v>
      </c>
      <c r="F191" s="4" t="s">
        <v>35</v>
      </c>
      <c r="G191" s="5" t="n">
        <v>1500</v>
      </c>
      <c r="H191" s="2"/>
    </row>
    <row r="192" customFormat="false" ht="15" hidden="false" customHeight="false" outlineLevel="0" collapsed="false">
      <c r="A192" s="2" t="s">
        <v>8</v>
      </c>
      <c r="B192" s="2" t="s">
        <v>124</v>
      </c>
      <c r="C192" s="3" t="n">
        <v>46027</v>
      </c>
      <c r="D192" s="2" t="str">
        <f aca="false">TEXT(C192,"YYYY-MM")</f>
        <v>2026-01</v>
      </c>
      <c r="E192" s="4" t="s">
        <v>38</v>
      </c>
      <c r="F192" s="4" t="s">
        <v>22</v>
      </c>
      <c r="G192" s="5" t="n">
        <v>1580</v>
      </c>
      <c r="H192" s="2"/>
    </row>
    <row r="193" customFormat="false" ht="15" hidden="false" customHeight="false" outlineLevel="0" collapsed="false">
      <c r="A193" s="2" t="s">
        <v>8</v>
      </c>
      <c r="B193" s="2" t="s">
        <v>124</v>
      </c>
      <c r="C193" s="3" t="n">
        <v>46027</v>
      </c>
      <c r="D193" s="2" t="str">
        <f aca="false">TEXT(C193,"YYYY-MM")</f>
        <v>2026-01</v>
      </c>
      <c r="E193" s="2" t="s">
        <v>44</v>
      </c>
      <c r="F193" s="4" t="s">
        <v>35</v>
      </c>
      <c r="G193" s="5" t="n">
        <v>2900</v>
      </c>
      <c r="H193" s="2"/>
    </row>
    <row r="194" customFormat="false" ht="15" hidden="false" customHeight="false" outlineLevel="0" collapsed="false">
      <c r="A194" s="2" t="s">
        <v>8</v>
      </c>
      <c r="B194" s="2" t="s">
        <v>124</v>
      </c>
      <c r="C194" s="3" t="n">
        <v>46028</v>
      </c>
      <c r="D194" s="2" t="str">
        <f aca="false">TEXT(C194,"YYYY-MM")</f>
        <v>2026-01</v>
      </c>
      <c r="E194" s="4" t="s">
        <v>38</v>
      </c>
      <c r="F194" s="4" t="s">
        <v>22</v>
      </c>
      <c r="G194" s="5" t="n">
        <v>1380</v>
      </c>
      <c r="H194" s="2"/>
    </row>
    <row r="195" customFormat="false" ht="15" hidden="false" customHeight="false" outlineLevel="0" collapsed="false">
      <c r="A195" s="2" t="s">
        <v>8</v>
      </c>
      <c r="B195" s="2" t="s">
        <v>124</v>
      </c>
      <c r="C195" s="3" t="n">
        <v>46028</v>
      </c>
      <c r="D195" s="2" t="str">
        <f aca="false">TEXT(C195,"YYYY-MM")</f>
        <v>2026-01</v>
      </c>
      <c r="E195" s="4" t="s">
        <v>49</v>
      </c>
      <c r="F195" s="4" t="s">
        <v>37</v>
      </c>
      <c r="G195" s="5" t="n">
        <v>13543</v>
      </c>
      <c r="H195" s="2"/>
    </row>
    <row r="196" customFormat="false" ht="15" hidden="false" customHeight="false" outlineLevel="0" collapsed="false">
      <c r="A196" s="2" t="s">
        <v>8</v>
      </c>
      <c r="B196" s="2" t="s">
        <v>124</v>
      </c>
      <c r="C196" s="3" t="n">
        <v>46028</v>
      </c>
      <c r="D196" s="2" t="str">
        <f aca="false">TEXT(C196,"YYYY-MM")</f>
        <v>2026-01</v>
      </c>
      <c r="E196" s="4" t="s">
        <v>56</v>
      </c>
      <c r="F196" s="4" t="s">
        <v>22</v>
      </c>
      <c r="G196" s="5" t="n">
        <v>501</v>
      </c>
      <c r="H196" s="4" t="s">
        <v>42</v>
      </c>
    </row>
    <row r="197" customFormat="false" ht="15" hidden="false" customHeight="false" outlineLevel="0" collapsed="false">
      <c r="A197" s="2" t="s">
        <v>8</v>
      </c>
      <c r="B197" s="2" t="s">
        <v>124</v>
      </c>
      <c r="C197" s="3" t="n">
        <v>46028</v>
      </c>
      <c r="D197" s="2" t="str">
        <f aca="false">TEXT(C197,"YYYY-MM")</f>
        <v>2026-01</v>
      </c>
      <c r="E197" s="4" t="s">
        <v>127</v>
      </c>
      <c r="F197" s="4" t="s">
        <v>11</v>
      </c>
      <c r="G197" s="5" t="n">
        <v>2838</v>
      </c>
      <c r="H197" s="2"/>
    </row>
    <row r="198" customFormat="false" ht="15" hidden="false" customHeight="false" outlineLevel="0" collapsed="false">
      <c r="A198" s="2" t="s">
        <v>8</v>
      </c>
      <c r="B198" s="2" t="s">
        <v>124</v>
      </c>
      <c r="C198" s="3" t="n">
        <v>46028</v>
      </c>
      <c r="D198" s="2" t="str">
        <f aca="false">TEXT(C198,"YYYY-MM")</f>
        <v>2026-01</v>
      </c>
      <c r="E198" s="4" t="s">
        <v>111</v>
      </c>
      <c r="F198" s="4" t="s">
        <v>58</v>
      </c>
      <c r="G198" s="5" t="n">
        <v>29013</v>
      </c>
      <c r="H198" s="2"/>
    </row>
    <row r="199" customFormat="false" ht="15" hidden="false" customHeight="false" outlineLevel="0" collapsed="false">
      <c r="A199" s="2" t="s">
        <v>8</v>
      </c>
      <c r="B199" s="2" t="s">
        <v>124</v>
      </c>
      <c r="C199" s="3" t="n">
        <v>46029</v>
      </c>
      <c r="D199" s="2" t="str">
        <f aca="false">TEXT(C199,"YYYY-MM")</f>
        <v>2026-01</v>
      </c>
      <c r="E199" s="4" t="s">
        <v>38</v>
      </c>
      <c r="F199" s="4" t="s">
        <v>22</v>
      </c>
      <c r="G199" s="5" t="n">
        <v>1580</v>
      </c>
      <c r="H199" s="2"/>
    </row>
    <row r="200" customFormat="false" ht="15" hidden="false" customHeight="false" outlineLevel="0" collapsed="false">
      <c r="A200" s="2" t="s">
        <v>8</v>
      </c>
      <c r="B200" s="2" t="s">
        <v>124</v>
      </c>
      <c r="C200" s="3" t="n">
        <v>46029</v>
      </c>
      <c r="D200" s="2" t="str">
        <f aca="false">TEXT(C200,"YYYY-MM")</f>
        <v>2026-01</v>
      </c>
      <c r="E200" s="4" t="s">
        <v>128</v>
      </c>
      <c r="F200" s="4" t="s">
        <v>22</v>
      </c>
      <c r="G200" s="5" t="n">
        <v>830</v>
      </c>
      <c r="H200" s="2"/>
    </row>
    <row r="201" customFormat="false" ht="15" hidden="false" customHeight="false" outlineLevel="0" collapsed="false">
      <c r="A201" s="2" t="s">
        <v>8</v>
      </c>
      <c r="B201" s="2" t="s">
        <v>124</v>
      </c>
      <c r="C201" s="3" t="n">
        <v>46030</v>
      </c>
      <c r="D201" s="2" t="str">
        <f aca="false">TEXT(C201,"YYYY-MM")</f>
        <v>2026-01</v>
      </c>
      <c r="E201" s="4" t="s">
        <v>38</v>
      </c>
      <c r="F201" s="4" t="s">
        <v>22</v>
      </c>
      <c r="G201" s="5" t="n">
        <v>1980</v>
      </c>
      <c r="H201" s="2"/>
    </row>
    <row r="202" customFormat="false" ht="15" hidden="false" customHeight="false" outlineLevel="0" collapsed="false">
      <c r="A202" s="2" t="s">
        <v>8</v>
      </c>
      <c r="B202" s="2" t="s">
        <v>124</v>
      </c>
      <c r="C202" s="3" t="n">
        <v>46030</v>
      </c>
      <c r="D202" s="2" t="str">
        <f aca="false">TEXT(C202,"YYYY-MM")</f>
        <v>2026-01</v>
      </c>
      <c r="E202" s="4" t="s">
        <v>129</v>
      </c>
      <c r="F202" s="4" t="s">
        <v>105</v>
      </c>
      <c r="G202" s="5" t="n">
        <v>1265</v>
      </c>
      <c r="H202" s="2"/>
    </row>
    <row r="203" customFormat="false" ht="15" hidden="false" customHeight="false" outlineLevel="0" collapsed="false">
      <c r="A203" s="2" t="s">
        <v>8</v>
      </c>
      <c r="B203" s="2" t="s">
        <v>124</v>
      </c>
      <c r="C203" s="3" t="n">
        <v>46031</v>
      </c>
      <c r="D203" s="2" t="str">
        <f aca="false">TEXT(C203,"YYYY-MM")</f>
        <v>2026-01</v>
      </c>
      <c r="E203" s="2" t="s">
        <v>52</v>
      </c>
      <c r="F203" s="4" t="s">
        <v>35</v>
      </c>
      <c r="G203" s="5" t="n">
        <v>1280</v>
      </c>
      <c r="H203" s="2"/>
    </row>
    <row r="204" customFormat="false" ht="15" hidden="false" customHeight="false" outlineLevel="0" collapsed="false">
      <c r="A204" s="2" t="s">
        <v>8</v>
      </c>
      <c r="B204" s="2" t="s">
        <v>124</v>
      </c>
      <c r="C204" s="3" t="n">
        <v>46031</v>
      </c>
      <c r="D204" s="2" t="str">
        <f aca="false">TEXT(C204,"YYYY-MM")</f>
        <v>2026-01</v>
      </c>
      <c r="E204" s="2" t="s">
        <v>106</v>
      </c>
      <c r="F204" s="4" t="s">
        <v>37</v>
      </c>
      <c r="G204" s="5" t="n">
        <v>9250</v>
      </c>
      <c r="H204" s="2"/>
    </row>
    <row r="205" customFormat="false" ht="15" hidden="false" customHeight="false" outlineLevel="0" collapsed="false">
      <c r="A205" s="2" t="s">
        <v>8</v>
      </c>
      <c r="B205" s="2" t="s">
        <v>124</v>
      </c>
      <c r="C205" s="3" t="n">
        <v>46031</v>
      </c>
      <c r="D205" s="2" t="str">
        <f aca="false">TEXT(C205,"YYYY-MM")</f>
        <v>2026-01</v>
      </c>
      <c r="E205" s="2" t="s">
        <v>106</v>
      </c>
      <c r="F205" s="4" t="s">
        <v>37</v>
      </c>
      <c r="G205" s="5" t="n">
        <v>9250</v>
      </c>
      <c r="H205" s="2"/>
    </row>
    <row r="206" customFormat="false" ht="15" hidden="false" customHeight="false" outlineLevel="0" collapsed="false">
      <c r="A206" s="2" t="s">
        <v>8</v>
      </c>
      <c r="B206" s="2" t="s">
        <v>124</v>
      </c>
      <c r="C206" s="3" t="n">
        <v>46031</v>
      </c>
      <c r="D206" s="2" t="str">
        <f aca="false">TEXT(C206,"YYYY-MM")</f>
        <v>2026-01</v>
      </c>
      <c r="E206" s="2" t="s">
        <v>106</v>
      </c>
      <c r="F206" s="4" t="s">
        <v>37</v>
      </c>
      <c r="G206" s="5" t="n">
        <v>2775</v>
      </c>
      <c r="H206" s="2"/>
    </row>
    <row r="207" customFormat="false" ht="15" hidden="false" customHeight="false" outlineLevel="0" collapsed="false">
      <c r="A207" s="2" t="s">
        <v>8</v>
      </c>
      <c r="B207" s="2" t="s">
        <v>124</v>
      </c>
      <c r="C207" s="3" t="n">
        <v>46032</v>
      </c>
      <c r="D207" s="2" t="str">
        <f aca="false">TEXT(C207,"YYYY-MM")</f>
        <v>2026-01</v>
      </c>
      <c r="E207" s="4" t="s">
        <v>91</v>
      </c>
      <c r="F207" s="4" t="s">
        <v>37</v>
      </c>
      <c r="G207" s="5" t="n">
        <v>18598</v>
      </c>
      <c r="H207" s="2"/>
    </row>
    <row r="208" customFormat="false" ht="15" hidden="false" customHeight="false" outlineLevel="0" collapsed="false">
      <c r="A208" s="2" t="s">
        <v>8</v>
      </c>
      <c r="B208" s="2" t="s">
        <v>124</v>
      </c>
      <c r="C208" s="3" t="n">
        <v>46034</v>
      </c>
      <c r="D208" s="2" t="str">
        <f aca="false">TEXT(C208,"YYYY-MM")</f>
        <v>2026-01</v>
      </c>
      <c r="E208" s="2" t="s">
        <v>57</v>
      </c>
      <c r="F208" s="4" t="s">
        <v>58</v>
      </c>
      <c r="G208" s="5" t="n">
        <v>50000</v>
      </c>
      <c r="H208" s="4" t="s">
        <v>59</v>
      </c>
    </row>
    <row r="209" customFormat="false" ht="15" hidden="false" customHeight="false" outlineLevel="0" collapsed="false">
      <c r="A209" s="2" t="s">
        <v>8</v>
      </c>
      <c r="B209" s="2" t="s">
        <v>124</v>
      </c>
      <c r="C209" s="3" t="n">
        <v>46035</v>
      </c>
      <c r="D209" s="2" t="str">
        <f aca="false">TEXT(C209,"YYYY-MM")</f>
        <v>2026-01</v>
      </c>
      <c r="E209" s="4" t="s">
        <v>91</v>
      </c>
      <c r="F209" s="4" t="s">
        <v>37</v>
      </c>
      <c r="G209" s="5" t="n">
        <v>1270</v>
      </c>
      <c r="H209" s="2"/>
    </row>
    <row r="210" customFormat="false" ht="15" hidden="false" customHeight="false" outlineLevel="0" collapsed="false">
      <c r="A210" s="2" t="s">
        <v>8</v>
      </c>
      <c r="B210" s="2" t="s">
        <v>124</v>
      </c>
      <c r="C210" s="3" t="n">
        <v>46035</v>
      </c>
      <c r="D210" s="2" t="str">
        <f aca="false">TEXT(C210,"YYYY-MM")</f>
        <v>2026-01</v>
      </c>
      <c r="E210" s="2" t="s">
        <v>57</v>
      </c>
      <c r="F210" s="4" t="s">
        <v>58</v>
      </c>
      <c r="G210" s="5" t="n">
        <v>27500</v>
      </c>
      <c r="H210" s="4" t="s">
        <v>59</v>
      </c>
    </row>
    <row r="211" customFormat="false" ht="15" hidden="false" customHeight="false" outlineLevel="0" collapsed="false">
      <c r="A211" s="2" t="s">
        <v>8</v>
      </c>
      <c r="B211" s="2" t="s">
        <v>124</v>
      </c>
      <c r="C211" s="3" t="n">
        <v>46038</v>
      </c>
      <c r="D211" s="2" t="str">
        <f aca="false">TEXT(C211,"YYYY-MM")</f>
        <v>2026-01</v>
      </c>
      <c r="E211" s="4" t="s">
        <v>46</v>
      </c>
      <c r="F211" s="4" t="s">
        <v>13</v>
      </c>
      <c r="G211" s="5" t="n">
        <v>10880</v>
      </c>
      <c r="H211" s="4" t="s">
        <v>47</v>
      </c>
    </row>
    <row r="212" customFormat="false" ht="15" hidden="false" customHeight="false" outlineLevel="0" collapsed="false">
      <c r="A212" s="2" t="s">
        <v>8</v>
      </c>
      <c r="B212" s="2" t="s">
        <v>124</v>
      </c>
      <c r="C212" s="3" t="n">
        <v>46038</v>
      </c>
      <c r="D212" s="2" t="str">
        <f aca="false">TEXT(C212,"YYYY-MM")</f>
        <v>2026-01</v>
      </c>
      <c r="E212" s="4" t="s">
        <v>46</v>
      </c>
      <c r="F212" s="4" t="s">
        <v>13</v>
      </c>
      <c r="G212" s="5" t="n">
        <v>14540</v>
      </c>
      <c r="H212" s="4" t="s">
        <v>47</v>
      </c>
    </row>
    <row r="213" customFormat="false" ht="15" hidden="false" customHeight="false" outlineLevel="0" collapsed="false">
      <c r="A213" s="2" t="s">
        <v>8</v>
      </c>
      <c r="B213" s="2" t="s">
        <v>124</v>
      </c>
      <c r="C213" s="3" t="n">
        <v>46039</v>
      </c>
      <c r="D213" s="2" t="str">
        <f aca="false">TEXT(C213,"YYYY-MM")</f>
        <v>2026-01</v>
      </c>
      <c r="E213" s="4" t="s">
        <v>130</v>
      </c>
      <c r="F213" s="4" t="s">
        <v>87</v>
      </c>
      <c r="G213" s="5" t="n">
        <v>1100</v>
      </c>
      <c r="H213" s="2"/>
    </row>
    <row r="214" customFormat="false" ht="15" hidden="false" customHeight="false" outlineLevel="0" collapsed="false">
      <c r="A214" s="2" t="s">
        <v>8</v>
      </c>
      <c r="B214" s="2" t="s">
        <v>124</v>
      </c>
      <c r="C214" s="3" t="n">
        <v>46039</v>
      </c>
      <c r="D214" s="2" t="str">
        <f aca="false">TEXT(C214,"YYYY-MM")</f>
        <v>2026-01</v>
      </c>
      <c r="E214" s="4" t="s">
        <v>131</v>
      </c>
      <c r="F214" s="4" t="s">
        <v>28</v>
      </c>
      <c r="G214" s="5" t="n">
        <v>43120</v>
      </c>
      <c r="H214" s="4" t="s">
        <v>132</v>
      </c>
    </row>
    <row r="215" customFormat="false" ht="15" hidden="false" customHeight="false" outlineLevel="0" collapsed="false">
      <c r="A215" s="2" t="s">
        <v>8</v>
      </c>
      <c r="B215" s="2" t="s">
        <v>124</v>
      </c>
      <c r="C215" s="3" t="n">
        <v>46042</v>
      </c>
      <c r="D215" s="2" t="str">
        <f aca="false">TEXT(C215,"YYYY-MM")</f>
        <v>2026-01</v>
      </c>
      <c r="E215" s="2" t="s">
        <v>114</v>
      </c>
      <c r="F215" s="4" t="s">
        <v>28</v>
      </c>
      <c r="G215" s="5" t="n">
        <v>55000</v>
      </c>
      <c r="H215" s="4" t="s">
        <v>115</v>
      </c>
    </row>
    <row r="216" customFormat="false" ht="15" hidden="false" customHeight="false" outlineLevel="0" collapsed="false">
      <c r="A216" s="2" t="s">
        <v>8</v>
      </c>
      <c r="B216" s="2" t="s">
        <v>124</v>
      </c>
      <c r="C216" s="3" t="n">
        <v>46045</v>
      </c>
      <c r="D216" s="2" t="str">
        <f aca="false">TEXT(C216,"YYYY-MM")</f>
        <v>2026-01</v>
      </c>
      <c r="E216" s="2" t="s">
        <v>34</v>
      </c>
      <c r="F216" s="4" t="s">
        <v>35</v>
      </c>
      <c r="G216" s="5" t="n">
        <v>740</v>
      </c>
      <c r="H216" s="2"/>
    </row>
    <row r="217" customFormat="false" ht="15" hidden="false" customHeight="false" outlineLevel="0" collapsed="false">
      <c r="A217" s="2" t="s">
        <v>8</v>
      </c>
      <c r="B217" s="2" t="s">
        <v>124</v>
      </c>
      <c r="C217" s="3" t="n">
        <v>46046</v>
      </c>
      <c r="D217" s="2" t="str">
        <f aca="false">TEXT(C217,"YYYY-MM")</f>
        <v>2026-01</v>
      </c>
      <c r="E217" s="2" t="s">
        <v>34</v>
      </c>
      <c r="F217" s="4" t="s">
        <v>35</v>
      </c>
      <c r="G217" s="5" t="n">
        <v>3400</v>
      </c>
      <c r="H217" s="2"/>
    </row>
    <row r="218" customFormat="false" ht="15" hidden="false" customHeight="false" outlineLevel="0" collapsed="false">
      <c r="A218" s="2" t="s">
        <v>8</v>
      </c>
      <c r="B218" s="2" t="s">
        <v>124</v>
      </c>
      <c r="C218" s="3" t="n">
        <v>46047</v>
      </c>
      <c r="D218" s="2" t="str">
        <f aca="false">TEXT(C218,"YYYY-MM")</f>
        <v>2026-01</v>
      </c>
      <c r="E218" s="2" t="s">
        <v>12</v>
      </c>
      <c r="F218" s="4" t="s">
        <v>13</v>
      </c>
      <c r="G218" s="5" t="n">
        <v>3270</v>
      </c>
      <c r="H218" s="2"/>
    </row>
    <row r="219" customFormat="false" ht="15" hidden="false" customHeight="false" outlineLevel="0" collapsed="false">
      <c r="A219" s="2" t="s">
        <v>8</v>
      </c>
      <c r="B219" s="2" t="s">
        <v>124</v>
      </c>
      <c r="C219" s="3" t="n">
        <v>46047</v>
      </c>
      <c r="D219" s="2" t="str">
        <f aca="false">TEXT(C219,"YYYY-MM")</f>
        <v>2026-01</v>
      </c>
      <c r="E219" s="4" t="s">
        <v>78</v>
      </c>
      <c r="F219" s="4" t="s">
        <v>58</v>
      </c>
      <c r="G219" s="5" t="n">
        <v>111498</v>
      </c>
      <c r="H219" s="4" t="s">
        <v>79</v>
      </c>
    </row>
    <row r="220" customFormat="false" ht="15" hidden="false" customHeight="false" outlineLevel="0" collapsed="false">
      <c r="A220" s="2" t="s">
        <v>8</v>
      </c>
      <c r="B220" s="2" t="s">
        <v>124</v>
      </c>
      <c r="C220" s="3" t="n">
        <v>46048</v>
      </c>
      <c r="D220" s="2" t="str">
        <f aca="false">TEXT(C220,"YYYY-MM")</f>
        <v>2026-01</v>
      </c>
      <c r="E220" s="4" t="s">
        <v>81</v>
      </c>
      <c r="F220" s="4" t="s">
        <v>35</v>
      </c>
      <c r="G220" s="5" t="n">
        <v>4980</v>
      </c>
      <c r="H220" s="2"/>
    </row>
    <row r="221" customFormat="false" ht="15" hidden="false" customHeight="false" outlineLevel="0" collapsed="false">
      <c r="A221" s="2" t="s">
        <v>8</v>
      </c>
      <c r="B221" s="2" t="s">
        <v>124</v>
      </c>
      <c r="C221" s="3" t="n">
        <v>46048</v>
      </c>
      <c r="D221" s="2" t="str">
        <f aca="false">TEXT(C221,"YYYY-MM")</f>
        <v>2026-01</v>
      </c>
      <c r="E221" s="2" t="s">
        <v>133</v>
      </c>
      <c r="F221" s="4" t="s">
        <v>15</v>
      </c>
      <c r="G221" s="5" t="n">
        <v>3814</v>
      </c>
      <c r="H221" s="4" t="s">
        <v>83</v>
      </c>
    </row>
    <row r="222" customFormat="false" ht="15" hidden="false" customHeight="false" outlineLevel="0" collapsed="false">
      <c r="A222" s="2" t="s">
        <v>8</v>
      </c>
      <c r="B222" s="2" t="s">
        <v>124</v>
      </c>
      <c r="C222" s="3" t="n">
        <v>46048</v>
      </c>
      <c r="D222" s="2" t="str">
        <f aca="false">TEXT(C222,"YYYY-MM")</f>
        <v>2026-01</v>
      </c>
      <c r="E222" s="2" t="s">
        <v>134</v>
      </c>
      <c r="F222" s="4" t="s">
        <v>37</v>
      </c>
      <c r="G222" s="5" t="n">
        <v>2999</v>
      </c>
      <c r="H222" s="2"/>
    </row>
    <row r="223" customFormat="false" ht="15" hidden="false" customHeight="false" outlineLevel="0" collapsed="false">
      <c r="A223" s="2" t="s">
        <v>8</v>
      </c>
      <c r="B223" s="2" t="s">
        <v>124</v>
      </c>
      <c r="C223" s="3" t="n">
        <v>46049</v>
      </c>
      <c r="D223" s="2" t="str">
        <f aca="false">TEXT(C223,"YYYY-MM")</f>
        <v>2026-01</v>
      </c>
      <c r="E223" s="2" t="s">
        <v>135</v>
      </c>
      <c r="F223" s="4" t="s">
        <v>37</v>
      </c>
      <c r="G223" s="5" t="n">
        <v>16720</v>
      </c>
      <c r="H223" s="2"/>
    </row>
    <row r="224" customFormat="false" ht="15" hidden="false" customHeight="false" outlineLevel="0" collapsed="false">
      <c r="A224" s="2" t="s">
        <v>8</v>
      </c>
      <c r="B224" s="2" t="s">
        <v>124</v>
      </c>
      <c r="C224" s="3" t="n">
        <v>46051</v>
      </c>
      <c r="D224" s="2" t="str">
        <f aca="false">TEXT(C224,"YYYY-MM")</f>
        <v>2026-01</v>
      </c>
      <c r="E224" s="2" t="s">
        <v>136</v>
      </c>
      <c r="F224" s="4" t="s">
        <v>137</v>
      </c>
      <c r="G224" s="5" t="n">
        <v>8800</v>
      </c>
      <c r="H224" s="4" t="s">
        <v>138</v>
      </c>
    </row>
    <row r="225" customFormat="false" ht="15" hidden="false" customHeight="false" outlineLevel="0" collapsed="false">
      <c r="A225" s="2" t="s">
        <v>8</v>
      </c>
      <c r="B225" s="2" t="s">
        <v>124</v>
      </c>
      <c r="C225" s="3" t="n">
        <v>46051</v>
      </c>
      <c r="D225" s="2" t="str">
        <f aca="false">TEXT(C225,"YYYY-MM")</f>
        <v>2026-01</v>
      </c>
      <c r="E225" s="4" t="s">
        <v>128</v>
      </c>
      <c r="F225" s="4" t="s">
        <v>22</v>
      </c>
      <c r="G225" s="5" t="n">
        <v>1860</v>
      </c>
      <c r="H225" s="2"/>
    </row>
    <row r="226" customFormat="false" ht="15" hidden="false" customHeight="false" outlineLevel="0" collapsed="false">
      <c r="A226" s="2" t="s">
        <v>8</v>
      </c>
      <c r="B226" s="2" t="s">
        <v>124</v>
      </c>
      <c r="C226" s="3" t="n">
        <v>46051</v>
      </c>
      <c r="D226" s="2" t="str">
        <f aca="false">TEXT(C226,"YYYY-MM")</f>
        <v>2026-01</v>
      </c>
      <c r="E226" s="2" t="s">
        <v>139</v>
      </c>
      <c r="F226" s="4" t="s">
        <v>37</v>
      </c>
      <c r="G226" s="5" t="n">
        <v>13940</v>
      </c>
      <c r="H226" s="2"/>
    </row>
    <row r="227" customFormat="false" ht="15" hidden="false" customHeight="false" outlineLevel="0" collapsed="false">
      <c r="A227" s="2" t="s">
        <v>8</v>
      </c>
      <c r="B227" s="2" t="s">
        <v>124</v>
      </c>
      <c r="C227" s="3" t="n">
        <v>46052</v>
      </c>
      <c r="D227" s="2" t="str">
        <f aca="false">TEXT(C227,"YYYY-MM")</f>
        <v>2026-01</v>
      </c>
      <c r="E227" s="4" t="s">
        <v>91</v>
      </c>
      <c r="F227" s="4" t="s">
        <v>37</v>
      </c>
      <c r="G227" s="5" t="n">
        <v>2363</v>
      </c>
      <c r="H227" s="2"/>
    </row>
    <row r="228" customFormat="false" ht="15" hidden="false" customHeight="false" outlineLevel="0" collapsed="false">
      <c r="A228" s="2" t="s">
        <v>8</v>
      </c>
      <c r="B228" s="2" t="s">
        <v>124</v>
      </c>
      <c r="C228" s="3" t="n">
        <v>46052</v>
      </c>
      <c r="D228" s="2" t="str">
        <f aca="false">TEXT(C228,"YYYY-MM")</f>
        <v>2026-01</v>
      </c>
      <c r="E228" s="4" t="s">
        <v>91</v>
      </c>
      <c r="F228" s="4" t="s">
        <v>37</v>
      </c>
      <c r="G228" s="5" t="n">
        <v>2363</v>
      </c>
      <c r="H228" s="2"/>
    </row>
    <row r="229" customFormat="false" ht="15" hidden="false" customHeight="false" outlineLevel="0" collapsed="false">
      <c r="A229" s="2" t="s">
        <v>8</v>
      </c>
      <c r="B229" s="2" t="s">
        <v>124</v>
      </c>
      <c r="C229" s="3" t="n">
        <v>46052</v>
      </c>
      <c r="D229" s="2" t="str">
        <f aca="false">TEXT(C229,"YYYY-MM")</f>
        <v>2026-01</v>
      </c>
      <c r="E229" s="4" t="s">
        <v>91</v>
      </c>
      <c r="F229" s="4" t="s">
        <v>37</v>
      </c>
      <c r="G229" s="5" t="n">
        <v>2363</v>
      </c>
      <c r="H229" s="2"/>
    </row>
    <row r="230" customFormat="false" ht="15" hidden="false" customHeight="false" outlineLevel="0" collapsed="false">
      <c r="A230" s="2" t="s">
        <v>8</v>
      </c>
      <c r="B230" s="2" t="s">
        <v>124</v>
      </c>
      <c r="C230" s="3" t="n">
        <v>46052</v>
      </c>
      <c r="D230" s="2" t="str">
        <f aca="false">TEXT(C230,"YYYY-MM")</f>
        <v>2026-01</v>
      </c>
      <c r="E230" s="4" t="s">
        <v>91</v>
      </c>
      <c r="F230" s="4" t="s">
        <v>37</v>
      </c>
      <c r="G230" s="5" t="n">
        <v>2986</v>
      </c>
      <c r="H230" s="2"/>
    </row>
    <row r="231" customFormat="false" ht="15" hidden="false" customHeight="false" outlineLevel="0" collapsed="false">
      <c r="A231" s="2" t="s">
        <v>8</v>
      </c>
      <c r="B231" s="2" t="s">
        <v>124</v>
      </c>
      <c r="C231" s="3" t="n">
        <v>46052</v>
      </c>
      <c r="D231" s="2" t="str">
        <f aca="false">TEXT(C231,"YYYY-MM")</f>
        <v>2026-01</v>
      </c>
      <c r="E231" s="4" t="s">
        <v>99</v>
      </c>
      <c r="F231" s="4" t="s">
        <v>13</v>
      </c>
      <c r="G231" s="5" t="n">
        <v>1500</v>
      </c>
      <c r="H231" s="4" t="s">
        <v>74</v>
      </c>
    </row>
    <row r="232" customFormat="false" ht="15" hidden="false" customHeight="false" outlineLevel="0" collapsed="false">
      <c r="A232" s="2" t="s">
        <v>8</v>
      </c>
      <c r="B232" s="2" t="s">
        <v>124</v>
      </c>
      <c r="C232" s="3" t="n">
        <v>46052</v>
      </c>
      <c r="D232" s="2" t="str">
        <f aca="false">TEXT(C232,"YYYY-MM")</f>
        <v>2026-01</v>
      </c>
      <c r="E232" s="4" t="s">
        <v>128</v>
      </c>
      <c r="F232" s="4" t="s">
        <v>22</v>
      </c>
      <c r="G232" s="5" t="n">
        <v>1380</v>
      </c>
      <c r="H232" s="2"/>
    </row>
    <row r="233" customFormat="false" ht="15" hidden="false" customHeight="false" outlineLevel="0" collapsed="false">
      <c r="A233" s="2" t="s">
        <v>8</v>
      </c>
      <c r="B233" s="2" t="s">
        <v>124</v>
      </c>
      <c r="C233" s="3" t="n">
        <v>46052</v>
      </c>
      <c r="D233" s="2" t="str">
        <f aca="false">TEXT(C233,"YYYY-MM")</f>
        <v>2026-01</v>
      </c>
      <c r="E233" s="4" t="s">
        <v>94</v>
      </c>
      <c r="F233" s="4" t="s">
        <v>87</v>
      </c>
      <c r="G233" s="5" t="n">
        <v>10780</v>
      </c>
      <c r="H233" s="4" t="s">
        <v>95</v>
      </c>
    </row>
    <row r="234" customFormat="false" ht="15" hidden="false" customHeight="false" outlineLevel="0" collapsed="false">
      <c r="A234" s="2" t="s">
        <v>8</v>
      </c>
      <c r="B234" s="2" t="s">
        <v>124</v>
      </c>
      <c r="C234" s="3" t="n">
        <v>46052</v>
      </c>
      <c r="D234" s="2" t="str">
        <f aca="false">TEXT(C234,"YYYY-MM")</f>
        <v>2026-01</v>
      </c>
      <c r="E234" s="4" t="s">
        <v>86</v>
      </c>
      <c r="F234" s="4" t="s">
        <v>87</v>
      </c>
      <c r="G234" s="5" t="n">
        <v>22000</v>
      </c>
      <c r="H234" s="4" t="s">
        <v>88</v>
      </c>
    </row>
    <row r="235" customFormat="false" ht="15" hidden="false" customHeight="false" outlineLevel="0" collapsed="false">
      <c r="A235" s="2" t="s">
        <v>8</v>
      </c>
      <c r="B235" s="2" t="s">
        <v>140</v>
      </c>
      <c r="C235" s="3" t="n">
        <v>46053</v>
      </c>
      <c r="D235" s="2" t="str">
        <f aca="false">TEXT(C235,"YYYY-MM")</f>
        <v>2026-01</v>
      </c>
      <c r="E235" s="4" t="s">
        <v>14</v>
      </c>
      <c r="F235" s="4" t="s">
        <v>15</v>
      </c>
      <c r="G235" s="5" t="n">
        <v>1763</v>
      </c>
      <c r="H235" s="2"/>
    </row>
    <row r="236" customFormat="false" ht="15" hidden="false" customHeight="false" outlineLevel="0" collapsed="false">
      <c r="A236" s="2" t="s">
        <v>8</v>
      </c>
      <c r="B236" s="2" t="s">
        <v>140</v>
      </c>
      <c r="C236" s="3" t="n">
        <v>46053</v>
      </c>
      <c r="D236" s="2" t="str">
        <f aca="false">TEXT(C236,"YYYY-MM")</f>
        <v>2026-01</v>
      </c>
      <c r="E236" s="4" t="s">
        <v>14</v>
      </c>
      <c r="F236" s="4" t="s">
        <v>15</v>
      </c>
      <c r="G236" s="5" t="n">
        <v>1543</v>
      </c>
      <c r="H236" s="2"/>
    </row>
    <row r="237" customFormat="false" ht="15" hidden="false" customHeight="false" outlineLevel="0" collapsed="false">
      <c r="A237" s="2" t="s">
        <v>8</v>
      </c>
      <c r="B237" s="2" t="s">
        <v>140</v>
      </c>
      <c r="C237" s="3" t="n">
        <v>46053</v>
      </c>
      <c r="D237" s="2" t="str">
        <f aca="false">TEXT(C237,"YYYY-MM")</f>
        <v>2026-01</v>
      </c>
      <c r="E237" s="4" t="s">
        <v>14</v>
      </c>
      <c r="F237" s="4" t="s">
        <v>15</v>
      </c>
      <c r="G237" s="5" t="n">
        <v>2558</v>
      </c>
      <c r="H237" s="2"/>
    </row>
    <row r="238" customFormat="false" ht="15" hidden="false" customHeight="false" outlineLevel="0" collapsed="false">
      <c r="A238" s="2" t="s">
        <v>8</v>
      </c>
      <c r="B238" s="2" t="s">
        <v>140</v>
      </c>
      <c r="C238" s="3" t="n">
        <v>46053</v>
      </c>
      <c r="D238" s="2" t="str">
        <f aca="false">TEXT(C238,"YYYY-MM")</f>
        <v>2026-01</v>
      </c>
      <c r="E238" s="4" t="s">
        <v>14</v>
      </c>
      <c r="F238" s="4" t="s">
        <v>15</v>
      </c>
      <c r="G238" s="5" t="n">
        <v>4394</v>
      </c>
      <c r="H238" s="2"/>
    </row>
    <row r="239" customFormat="false" ht="15" hidden="false" customHeight="false" outlineLevel="0" collapsed="false">
      <c r="A239" s="2" t="s">
        <v>8</v>
      </c>
      <c r="B239" s="2" t="s">
        <v>140</v>
      </c>
      <c r="C239" s="3" t="n">
        <v>46053</v>
      </c>
      <c r="D239" s="2" t="str">
        <f aca="false">TEXT(C239,"YYYY-MM")</f>
        <v>2026-01</v>
      </c>
      <c r="E239" s="4" t="s">
        <v>14</v>
      </c>
      <c r="F239" s="4" t="s">
        <v>15</v>
      </c>
      <c r="G239" s="5" t="n">
        <v>1543</v>
      </c>
      <c r="H239" s="2"/>
    </row>
    <row r="240" customFormat="false" ht="15" hidden="false" customHeight="false" outlineLevel="0" collapsed="false">
      <c r="A240" s="2" t="s">
        <v>8</v>
      </c>
      <c r="B240" s="2" t="s">
        <v>140</v>
      </c>
      <c r="C240" s="3" t="n">
        <v>46054</v>
      </c>
      <c r="D240" s="2" t="str">
        <f aca="false">TEXT(C240,"YYYY-MM")</f>
        <v>2026-02</v>
      </c>
      <c r="E240" s="2" t="s">
        <v>19</v>
      </c>
      <c r="F240" s="4" t="s">
        <v>15</v>
      </c>
      <c r="G240" s="5" t="n">
        <v>5120</v>
      </c>
      <c r="H240" s="2"/>
    </row>
    <row r="241" customFormat="false" ht="15" hidden="false" customHeight="false" outlineLevel="0" collapsed="false">
      <c r="A241" s="2" t="s">
        <v>8</v>
      </c>
      <c r="B241" s="2" t="s">
        <v>140</v>
      </c>
      <c r="C241" s="3" t="n">
        <v>46055</v>
      </c>
      <c r="D241" s="2" t="str">
        <f aca="false">TEXT(C241,"YYYY-MM")</f>
        <v>2026-02</v>
      </c>
      <c r="E241" s="4" t="s">
        <v>141</v>
      </c>
      <c r="F241" s="4" t="s">
        <v>11</v>
      </c>
      <c r="G241" s="5" t="n">
        <v>2576</v>
      </c>
      <c r="H241" s="2"/>
    </row>
    <row r="242" customFormat="false" ht="15" hidden="false" customHeight="false" outlineLevel="0" collapsed="false">
      <c r="A242" s="2" t="s">
        <v>8</v>
      </c>
      <c r="B242" s="2" t="s">
        <v>140</v>
      </c>
      <c r="C242" s="3" t="n">
        <v>46056</v>
      </c>
      <c r="D242" s="2" t="str">
        <f aca="false">TEXT(C242,"YYYY-MM")</f>
        <v>2026-02</v>
      </c>
      <c r="E242" s="4" t="s">
        <v>49</v>
      </c>
      <c r="F242" s="4" t="s">
        <v>37</v>
      </c>
      <c r="G242" s="5" t="n">
        <v>605512</v>
      </c>
      <c r="H242" s="4" t="s">
        <v>142</v>
      </c>
    </row>
    <row r="243" customFormat="false" ht="15" hidden="false" customHeight="false" outlineLevel="0" collapsed="false">
      <c r="A243" s="2" t="s">
        <v>8</v>
      </c>
      <c r="B243" s="2" t="s">
        <v>140</v>
      </c>
      <c r="C243" s="3" t="n">
        <v>46056</v>
      </c>
      <c r="D243" s="2" t="str">
        <f aca="false">TEXT(C243,"YYYY-MM")</f>
        <v>2026-02</v>
      </c>
      <c r="E243" s="2" t="s">
        <v>143</v>
      </c>
      <c r="F243" s="4" t="s">
        <v>37</v>
      </c>
      <c r="G243" s="5" t="n">
        <v>20757</v>
      </c>
      <c r="H243" s="4" t="s">
        <v>144</v>
      </c>
    </row>
    <row r="244" customFormat="false" ht="15" hidden="false" customHeight="false" outlineLevel="0" collapsed="false">
      <c r="A244" s="2" t="s">
        <v>8</v>
      </c>
      <c r="B244" s="2" t="s">
        <v>140</v>
      </c>
      <c r="C244" s="3" t="n">
        <v>46056</v>
      </c>
      <c r="D244" s="2" t="str">
        <f aca="false">TEXT(C244,"YYYY-MM")</f>
        <v>2026-02</v>
      </c>
      <c r="E244" s="2" t="s">
        <v>12</v>
      </c>
      <c r="F244" s="4" t="s">
        <v>13</v>
      </c>
      <c r="G244" s="5" t="n">
        <v>2370</v>
      </c>
      <c r="H244" s="2"/>
    </row>
    <row r="245" customFormat="false" ht="15" hidden="false" customHeight="false" outlineLevel="0" collapsed="false">
      <c r="A245" s="2" t="s">
        <v>8</v>
      </c>
      <c r="B245" s="2" t="s">
        <v>140</v>
      </c>
      <c r="C245" s="3" t="n">
        <v>46056</v>
      </c>
      <c r="D245" s="2" t="str">
        <f aca="false">TEXT(C245,"YYYY-MM")</f>
        <v>2026-02</v>
      </c>
      <c r="E245" s="2" t="s">
        <v>12</v>
      </c>
      <c r="F245" s="4" t="s">
        <v>13</v>
      </c>
      <c r="G245" s="5" t="n">
        <v>3380</v>
      </c>
      <c r="H245" s="2"/>
    </row>
    <row r="246" customFormat="false" ht="15" hidden="false" customHeight="false" outlineLevel="0" collapsed="false">
      <c r="A246" s="2" t="s">
        <v>8</v>
      </c>
      <c r="B246" s="2" t="s">
        <v>140</v>
      </c>
      <c r="C246" s="3" t="n">
        <v>46057</v>
      </c>
      <c r="D246" s="2" t="str">
        <f aca="false">TEXT(C246,"YYYY-MM")</f>
        <v>2026-02</v>
      </c>
      <c r="E246" s="2" t="s">
        <v>34</v>
      </c>
      <c r="F246" s="4" t="s">
        <v>35</v>
      </c>
      <c r="G246" s="5" t="n">
        <v>1500</v>
      </c>
      <c r="H246" s="2"/>
    </row>
    <row r="247" customFormat="false" ht="15" hidden="false" customHeight="false" outlineLevel="0" collapsed="false">
      <c r="A247" s="2" t="s">
        <v>8</v>
      </c>
      <c r="B247" s="2" t="s">
        <v>140</v>
      </c>
      <c r="C247" s="3" t="n">
        <v>46057</v>
      </c>
      <c r="D247" s="2" t="str">
        <f aca="false">TEXT(C247,"YYYY-MM")</f>
        <v>2026-02</v>
      </c>
      <c r="E247" s="4" t="s">
        <v>70</v>
      </c>
      <c r="F247" s="4" t="s">
        <v>22</v>
      </c>
      <c r="G247" s="5" t="n">
        <v>4066</v>
      </c>
      <c r="H247" s="2"/>
    </row>
    <row r="248" customFormat="false" ht="15" hidden="false" customHeight="false" outlineLevel="0" collapsed="false">
      <c r="A248" s="2" t="s">
        <v>8</v>
      </c>
      <c r="B248" s="2" t="s">
        <v>140</v>
      </c>
      <c r="C248" s="3" t="n">
        <v>46057</v>
      </c>
      <c r="D248" s="2" t="str">
        <f aca="false">TEXT(C248,"YYYY-MM")</f>
        <v>2026-02</v>
      </c>
      <c r="E248" s="4" t="s">
        <v>41</v>
      </c>
      <c r="F248" s="4" t="s">
        <v>22</v>
      </c>
      <c r="G248" s="5" t="n">
        <v>960</v>
      </c>
      <c r="H248" s="4" t="s">
        <v>42</v>
      </c>
    </row>
    <row r="249" customFormat="false" ht="15" hidden="false" customHeight="false" outlineLevel="0" collapsed="false">
      <c r="A249" s="2" t="s">
        <v>8</v>
      </c>
      <c r="B249" s="2" t="s">
        <v>140</v>
      </c>
      <c r="C249" s="3" t="n">
        <v>46058</v>
      </c>
      <c r="D249" s="2" t="str">
        <f aca="false">TEXT(C249,"YYYY-MM")</f>
        <v>2026-02</v>
      </c>
      <c r="E249" s="2" t="s">
        <v>44</v>
      </c>
      <c r="F249" s="4" t="s">
        <v>35</v>
      </c>
      <c r="G249" s="5" t="n">
        <v>2900</v>
      </c>
      <c r="H249" s="2"/>
    </row>
    <row r="250" customFormat="false" ht="15" hidden="false" customHeight="false" outlineLevel="0" collapsed="false">
      <c r="A250" s="2" t="s">
        <v>8</v>
      </c>
      <c r="B250" s="2" t="s">
        <v>140</v>
      </c>
      <c r="C250" s="3" t="n">
        <v>46058</v>
      </c>
      <c r="D250" s="2" t="str">
        <f aca="false">TEXT(C250,"YYYY-MM")</f>
        <v>2026-02</v>
      </c>
      <c r="E250" s="4" t="s">
        <v>128</v>
      </c>
      <c r="F250" s="4" t="s">
        <v>22</v>
      </c>
      <c r="G250" s="5" t="n">
        <v>2060</v>
      </c>
      <c r="H250" s="2"/>
    </row>
    <row r="251" customFormat="false" ht="15" hidden="false" customHeight="false" outlineLevel="0" collapsed="false">
      <c r="A251" s="2" t="s">
        <v>8</v>
      </c>
      <c r="B251" s="2" t="s">
        <v>140</v>
      </c>
      <c r="C251" s="3" t="n">
        <v>46058</v>
      </c>
      <c r="D251" s="2" t="str">
        <f aca="false">TEXT(C251,"YYYY-MM")</f>
        <v>2026-02</v>
      </c>
      <c r="E251" s="4" t="s">
        <v>145</v>
      </c>
      <c r="F251" s="4" t="s">
        <v>11</v>
      </c>
      <c r="G251" s="5" t="n">
        <v>3606</v>
      </c>
      <c r="H251" s="2"/>
    </row>
    <row r="252" customFormat="false" ht="15" hidden="false" customHeight="false" outlineLevel="0" collapsed="false">
      <c r="A252" s="2" t="s">
        <v>8</v>
      </c>
      <c r="B252" s="2" t="s">
        <v>140</v>
      </c>
      <c r="C252" s="3" t="n">
        <v>46059</v>
      </c>
      <c r="D252" s="2" t="str">
        <f aca="false">TEXT(C252,"YYYY-MM")</f>
        <v>2026-02</v>
      </c>
      <c r="E252" s="4" t="s">
        <v>146</v>
      </c>
      <c r="F252" s="4" t="s">
        <v>22</v>
      </c>
      <c r="G252" s="5" t="n">
        <v>950</v>
      </c>
      <c r="H252" s="2"/>
    </row>
    <row r="253" customFormat="false" ht="15" hidden="false" customHeight="false" outlineLevel="0" collapsed="false">
      <c r="A253" s="2" t="s">
        <v>8</v>
      </c>
      <c r="B253" s="2" t="s">
        <v>140</v>
      </c>
      <c r="C253" s="3" t="n">
        <v>46059</v>
      </c>
      <c r="D253" s="2" t="str">
        <f aca="false">TEXT(C253,"YYYY-MM")</f>
        <v>2026-02</v>
      </c>
      <c r="E253" s="2" t="s">
        <v>147</v>
      </c>
      <c r="F253" s="4" t="s">
        <v>137</v>
      </c>
      <c r="G253" s="5" t="n">
        <v>10517</v>
      </c>
      <c r="H253" s="4" t="s">
        <v>148</v>
      </c>
    </row>
    <row r="254" customFormat="false" ht="15" hidden="false" customHeight="false" outlineLevel="0" collapsed="false">
      <c r="A254" s="2" t="s">
        <v>8</v>
      </c>
      <c r="B254" s="2" t="s">
        <v>140</v>
      </c>
      <c r="C254" s="3" t="n">
        <v>46059</v>
      </c>
      <c r="D254" s="2" t="str">
        <f aca="false">TEXT(C254,"YYYY-MM")</f>
        <v>2026-02</v>
      </c>
      <c r="E254" s="2" t="s">
        <v>147</v>
      </c>
      <c r="F254" s="4" t="s">
        <v>137</v>
      </c>
      <c r="G254" s="5" t="n">
        <v>10514</v>
      </c>
      <c r="H254" s="4" t="s">
        <v>148</v>
      </c>
    </row>
    <row r="255" customFormat="false" ht="15" hidden="false" customHeight="false" outlineLevel="0" collapsed="false">
      <c r="A255" s="2" t="s">
        <v>8</v>
      </c>
      <c r="B255" s="2" t="s">
        <v>140</v>
      </c>
      <c r="C255" s="3" t="n">
        <v>46059</v>
      </c>
      <c r="D255" s="2" t="str">
        <f aca="false">TEXT(C255,"YYYY-MM")</f>
        <v>2026-02</v>
      </c>
      <c r="E255" s="4" t="s">
        <v>128</v>
      </c>
      <c r="F255" s="4" t="s">
        <v>22</v>
      </c>
      <c r="G255" s="5" t="n">
        <v>1380</v>
      </c>
      <c r="H255" s="2"/>
    </row>
    <row r="256" customFormat="false" ht="15" hidden="false" customHeight="false" outlineLevel="0" collapsed="false">
      <c r="A256" s="2" t="s">
        <v>8</v>
      </c>
      <c r="B256" s="2" t="s">
        <v>140</v>
      </c>
      <c r="C256" s="3" t="n">
        <v>46059</v>
      </c>
      <c r="D256" s="2" t="str">
        <f aca="false">TEXT(C256,"YYYY-MM")</f>
        <v>2026-02</v>
      </c>
      <c r="E256" s="4" t="s">
        <v>149</v>
      </c>
      <c r="F256" s="4" t="s">
        <v>17</v>
      </c>
      <c r="G256" s="5" t="n">
        <v>2200</v>
      </c>
      <c r="H256" s="4" t="s">
        <v>18</v>
      </c>
    </row>
    <row r="257" customFormat="false" ht="15" hidden="false" customHeight="false" outlineLevel="0" collapsed="false">
      <c r="A257" s="2" t="s">
        <v>8</v>
      </c>
      <c r="B257" s="2" t="s">
        <v>140</v>
      </c>
      <c r="C257" s="3" t="n">
        <v>46059</v>
      </c>
      <c r="D257" s="2" t="str">
        <f aca="false">TEXT(C257,"YYYY-MM")</f>
        <v>2026-02</v>
      </c>
      <c r="E257" s="2" t="s">
        <v>150</v>
      </c>
      <c r="F257" s="4" t="s">
        <v>37</v>
      </c>
      <c r="G257" s="5" t="n">
        <v>22730</v>
      </c>
      <c r="H257" s="2"/>
    </row>
    <row r="258" customFormat="false" ht="15" hidden="false" customHeight="false" outlineLevel="0" collapsed="false">
      <c r="A258" s="2" t="s">
        <v>8</v>
      </c>
      <c r="B258" s="2" t="s">
        <v>140</v>
      </c>
      <c r="C258" s="3" t="n">
        <v>46060</v>
      </c>
      <c r="D258" s="2" t="str">
        <f aca="false">TEXT(C258,"YYYY-MM")</f>
        <v>2026-02</v>
      </c>
      <c r="E258" s="4" t="s">
        <v>151</v>
      </c>
      <c r="F258" s="4" t="s">
        <v>13</v>
      </c>
      <c r="G258" s="5" t="n">
        <v>1300</v>
      </c>
      <c r="H258" s="2"/>
    </row>
    <row r="259" customFormat="false" ht="15" hidden="false" customHeight="false" outlineLevel="0" collapsed="false">
      <c r="A259" s="2" t="s">
        <v>8</v>
      </c>
      <c r="B259" s="2" t="s">
        <v>140</v>
      </c>
      <c r="C259" s="3" t="n">
        <v>46060</v>
      </c>
      <c r="D259" s="2" t="str">
        <f aca="false">TEXT(C259,"YYYY-MM")</f>
        <v>2026-02</v>
      </c>
      <c r="E259" s="4" t="s">
        <v>152</v>
      </c>
      <c r="F259" s="4" t="s">
        <v>22</v>
      </c>
      <c r="G259" s="5" t="n">
        <v>9394</v>
      </c>
      <c r="H259" s="2"/>
    </row>
    <row r="260" customFormat="false" ht="15" hidden="false" customHeight="false" outlineLevel="0" collapsed="false">
      <c r="A260" s="2" t="s">
        <v>8</v>
      </c>
      <c r="B260" s="2" t="s">
        <v>140</v>
      </c>
      <c r="C260" s="3" t="n">
        <v>46060</v>
      </c>
      <c r="D260" s="2" t="str">
        <f aca="false">TEXT(C260,"YYYY-MM")</f>
        <v>2026-02</v>
      </c>
      <c r="E260" s="4" t="s">
        <v>153</v>
      </c>
      <c r="F260" s="4" t="s">
        <v>22</v>
      </c>
      <c r="G260" s="5" t="n">
        <v>1530</v>
      </c>
      <c r="H260" s="2"/>
    </row>
    <row r="261" customFormat="false" ht="15" hidden="false" customHeight="false" outlineLevel="0" collapsed="false">
      <c r="A261" s="2" t="s">
        <v>8</v>
      </c>
      <c r="B261" s="2" t="s">
        <v>140</v>
      </c>
      <c r="C261" s="3" t="n">
        <v>46061</v>
      </c>
      <c r="D261" s="2" t="str">
        <f aca="false">TEXT(C261,"YYYY-MM")</f>
        <v>2026-02</v>
      </c>
      <c r="E261" s="4" t="s">
        <v>39</v>
      </c>
      <c r="F261" s="4" t="s">
        <v>37</v>
      </c>
      <c r="G261" s="5" t="n">
        <v>134600</v>
      </c>
      <c r="H261" s="2" t="s">
        <v>40</v>
      </c>
    </row>
    <row r="262" customFormat="false" ht="15" hidden="false" customHeight="false" outlineLevel="0" collapsed="false">
      <c r="A262" s="2" t="s">
        <v>8</v>
      </c>
      <c r="B262" s="2" t="s">
        <v>140</v>
      </c>
      <c r="C262" s="3" t="n">
        <v>46062</v>
      </c>
      <c r="D262" s="2" t="str">
        <f aca="false">TEXT(C262,"YYYY-MM")</f>
        <v>2026-02</v>
      </c>
      <c r="E262" s="2" t="s">
        <v>52</v>
      </c>
      <c r="F262" s="4" t="s">
        <v>35</v>
      </c>
      <c r="G262" s="5" t="n">
        <v>1280</v>
      </c>
      <c r="H262" s="2"/>
    </row>
    <row r="263" customFormat="false" ht="15" hidden="false" customHeight="false" outlineLevel="0" collapsed="false">
      <c r="A263" s="2" t="s">
        <v>8</v>
      </c>
      <c r="B263" s="2" t="s">
        <v>140</v>
      </c>
      <c r="C263" s="3" t="n">
        <v>46062</v>
      </c>
      <c r="D263" s="2" t="str">
        <f aca="false">TEXT(C263,"YYYY-MM")</f>
        <v>2026-02</v>
      </c>
      <c r="E263" s="4" t="s">
        <v>154</v>
      </c>
      <c r="F263" s="4" t="s">
        <v>105</v>
      </c>
      <c r="G263" s="5" t="n">
        <v>592</v>
      </c>
      <c r="H263" s="2"/>
    </row>
    <row r="264" customFormat="false" ht="15" hidden="false" customHeight="false" outlineLevel="0" collapsed="false">
      <c r="A264" s="2" t="s">
        <v>8</v>
      </c>
      <c r="B264" s="2" t="s">
        <v>140</v>
      </c>
      <c r="C264" s="3" t="n">
        <v>46062</v>
      </c>
      <c r="D264" s="2" t="str">
        <f aca="false">TEXT(C264,"YYYY-MM")</f>
        <v>2026-02</v>
      </c>
      <c r="E264" s="4" t="s">
        <v>128</v>
      </c>
      <c r="F264" s="4" t="s">
        <v>22</v>
      </c>
      <c r="G264" s="5" t="n">
        <v>1760</v>
      </c>
      <c r="H264" s="2"/>
    </row>
    <row r="265" customFormat="false" ht="15" hidden="false" customHeight="false" outlineLevel="0" collapsed="false">
      <c r="A265" s="2" t="s">
        <v>8</v>
      </c>
      <c r="B265" s="2" t="s">
        <v>140</v>
      </c>
      <c r="C265" s="3" t="n">
        <v>46062</v>
      </c>
      <c r="D265" s="2" t="str">
        <f aca="false">TEXT(C265,"YYYY-MM")</f>
        <v>2026-02</v>
      </c>
      <c r="E265" s="4" t="s">
        <v>155</v>
      </c>
      <c r="F265" s="4" t="s">
        <v>17</v>
      </c>
      <c r="G265" s="5" t="n">
        <v>880</v>
      </c>
      <c r="H265" s="4" t="s">
        <v>18</v>
      </c>
    </row>
    <row r="266" customFormat="false" ht="15" hidden="false" customHeight="false" outlineLevel="0" collapsed="false">
      <c r="A266" s="2" t="s">
        <v>8</v>
      </c>
      <c r="B266" s="2" t="s">
        <v>140</v>
      </c>
      <c r="C266" s="3" t="n">
        <v>46062</v>
      </c>
      <c r="D266" s="2" t="str">
        <f aca="false">TEXT(C266,"YYYY-MM")</f>
        <v>2026-02</v>
      </c>
      <c r="E266" s="4" t="s">
        <v>156</v>
      </c>
      <c r="F266" s="4" t="s">
        <v>37</v>
      </c>
      <c r="G266" s="5" t="n">
        <v>18248</v>
      </c>
      <c r="H266" s="4" t="s">
        <v>157</v>
      </c>
    </row>
    <row r="267" customFormat="false" ht="15" hidden="false" customHeight="false" outlineLevel="0" collapsed="false">
      <c r="A267" s="2" t="s">
        <v>8</v>
      </c>
      <c r="B267" s="2" t="s">
        <v>140</v>
      </c>
      <c r="C267" s="3" t="n">
        <v>46063</v>
      </c>
      <c r="D267" s="2" t="str">
        <f aca="false">TEXT(C267,"YYYY-MM")</f>
        <v>2026-02</v>
      </c>
      <c r="E267" s="4" t="s">
        <v>128</v>
      </c>
      <c r="F267" s="4" t="s">
        <v>22</v>
      </c>
      <c r="G267" s="5" t="n">
        <v>2060</v>
      </c>
      <c r="H267" s="2"/>
    </row>
    <row r="268" customFormat="false" ht="15" hidden="false" customHeight="false" outlineLevel="0" collapsed="false">
      <c r="A268" s="2" t="s">
        <v>8</v>
      </c>
      <c r="B268" s="2" t="s">
        <v>140</v>
      </c>
      <c r="C268" s="3" t="n">
        <v>46064</v>
      </c>
      <c r="D268" s="2" t="str">
        <f aca="false">TEXT(C268,"YYYY-MM")</f>
        <v>2026-02</v>
      </c>
      <c r="E268" s="4" t="s">
        <v>158</v>
      </c>
      <c r="F268" s="4" t="s">
        <v>26</v>
      </c>
      <c r="G268" s="5" t="n">
        <v>3640</v>
      </c>
      <c r="H268" s="2"/>
    </row>
    <row r="269" customFormat="false" ht="15" hidden="false" customHeight="false" outlineLevel="0" collapsed="false">
      <c r="A269" s="2" t="s">
        <v>8</v>
      </c>
      <c r="B269" s="2" t="s">
        <v>140</v>
      </c>
      <c r="C269" s="3" t="n">
        <v>46064</v>
      </c>
      <c r="D269" s="2" t="str">
        <f aca="false">TEXT(C269,"YYYY-MM")</f>
        <v>2026-02</v>
      </c>
      <c r="E269" s="4" t="s">
        <v>159</v>
      </c>
      <c r="F269" s="4" t="s">
        <v>22</v>
      </c>
      <c r="G269" s="5" t="n">
        <v>12363</v>
      </c>
      <c r="H269" s="2"/>
    </row>
    <row r="270" customFormat="false" ht="15" hidden="false" customHeight="false" outlineLevel="0" collapsed="false">
      <c r="A270" s="2" t="s">
        <v>8</v>
      </c>
      <c r="B270" s="2" t="s">
        <v>140</v>
      </c>
      <c r="C270" s="3" t="n">
        <v>46065</v>
      </c>
      <c r="D270" s="2" t="str">
        <f aca="false">TEXT(C270,"YYYY-MM")</f>
        <v>2026-02</v>
      </c>
      <c r="E270" s="2" t="s">
        <v>57</v>
      </c>
      <c r="F270" s="4" t="s">
        <v>58</v>
      </c>
      <c r="G270" s="5" t="n">
        <v>50000</v>
      </c>
      <c r="H270" s="4" t="s">
        <v>59</v>
      </c>
    </row>
    <row r="271" customFormat="false" ht="15" hidden="false" customHeight="false" outlineLevel="0" collapsed="false">
      <c r="A271" s="2" t="s">
        <v>8</v>
      </c>
      <c r="B271" s="2" t="s">
        <v>140</v>
      </c>
      <c r="C271" s="3" t="n">
        <v>46065</v>
      </c>
      <c r="D271" s="2" t="str">
        <f aca="false">TEXT(C271,"YYYY-MM")</f>
        <v>2026-02</v>
      </c>
      <c r="E271" s="4" t="s">
        <v>160</v>
      </c>
      <c r="F271" s="4" t="s">
        <v>22</v>
      </c>
      <c r="G271" s="5" t="n">
        <v>1760</v>
      </c>
      <c r="H271" s="2"/>
    </row>
    <row r="272" customFormat="false" ht="15" hidden="false" customHeight="false" outlineLevel="0" collapsed="false">
      <c r="A272" s="2" t="s">
        <v>8</v>
      </c>
      <c r="B272" s="2" t="s">
        <v>140</v>
      </c>
      <c r="C272" s="3" t="n">
        <v>46065</v>
      </c>
      <c r="D272" s="2" t="str">
        <f aca="false">TEXT(C272,"YYYY-MM")</f>
        <v>2026-02</v>
      </c>
      <c r="E272" s="2" t="s">
        <v>12</v>
      </c>
      <c r="F272" s="4" t="s">
        <v>13</v>
      </c>
      <c r="G272" s="5" t="n">
        <v>2900</v>
      </c>
      <c r="H272" s="2"/>
    </row>
    <row r="273" customFormat="false" ht="15" hidden="false" customHeight="false" outlineLevel="0" collapsed="false">
      <c r="A273" s="2" t="s">
        <v>8</v>
      </c>
      <c r="B273" s="2" t="s">
        <v>140</v>
      </c>
      <c r="C273" s="3" t="n">
        <v>46066</v>
      </c>
      <c r="D273" s="2" t="str">
        <f aca="false">TEXT(C273,"YYYY-MM")</f>
        <v>2026-02</v>
      </c>
      <c r="E273" s="2" t="s">
        <v>57</v>
      </c>
      <c r="F273" s="4" t="s">
        <v>58</v>
      </c>
      <c r="G273" s="5" t="n">
        <v>27500</v>
      </c>
      <c r="H273" s="4" t="s">
        <v>59</v>
      </c>
    </row>
    <row r="274" customFormat="false" ht="15" hidden="false" customHeight="false" outlineLevel="0" collapsed="false">
      <c r="A274" s="2" t="s">
        <v>8</v>
      </c>
      <c r="B274" s="2" t="s">
        <v>140</v>
      </c>
      <c r="C274" s="3" t="n">
        <v>46066</v>
      </c>
      <c r="D274" s="2" t="str">
        <f aca="false">TEXT(C274,"YYYY-MM")</f>
        <v>2026-02</v>
      </c>
      <c r="E274" s="4" t="s">
        <v>46</v>
      </c>
      <c r="F274" s="4" t="s">
        <v>13</v>
      </c>
      <c r="G274" s="5" t="n">
        <v>10880</v>
      </c>
      <c r="H274" s="4" t="s">
        <v>47</v>
      </c>
    </row>
    <row r="275" customFormat="false" ht="15" hidden="false" customHeight="false" outlineLevel="0" collapsed="false">
      <c r="A275" s="2" t="s">
        <v>8</v>
      </c>
      <c r="B275" s="2" t="s">
        <v>140</v>
      </c>
      <c r="C275" s="3" t="n">
        <v>46066</v>
      </c>
      <c r="D275" s="2" t="str">
        <f aca="false">TEXT(C275,"YYYY-MM")</f>
        <v>2026-02</v>
      </c>
      <c r="E275" s="4" t="s">
        <v>46</v>
      </c>
      <c r="F275" s="4" t="s">
        <v>13</v>
      </c>
      <c r="G275" s="5" t="n">
        <v>10880</v>
      </c>
      <c r="H275" s="4" t="s">
        <v>47</v>
      </c>
    </row>
    <row r="276" customFormat="false" ht="15" hidden="false" customHeight="false" outlineLevel="0" collapsed="false">
      <c r="A276" s="2" t="s">
        <v>8</v>
      </c>
      <c r="B276" s="2" t="s">
        <v>140</v>
      </c>
      <c r="C276" s="3" t="n">
        <v>46066</v>
      </c>
      <c r="D276" s="2" t="str">
        <f aca="false">TEXT(C276,"YYYY-MM")</f>
        <v>2026-02</v>
      </c>
      <c r="E276" s="2" t="s">
        <v>12</v>
      </c>
      <c r="F276" s="4" t="s">
        <v>13</v>
      </c>
      <c r="G276" s="5" t="n">
        <v>1060</v>
      </c>
      <c r="H276" s="2"/>
    </row>
    <row r="277" customFormat="false" ht="15" hidden="false" customHeight="false" outlineLevel="0" collapsed="false">
      <c r="A277" s="2" t="s">
        <v>8</v>
      </c>
      <c r="B277" s="2" t="s">
        <v>140</v>
      </c>
      <c r="C277" s="3" t="n">
        <v>46071</v>
      </c>
      <c r="D277" s="2" t="str">
        <f aca="false">TEXT(C277,"YYYY-MM")</f>
        <v>2026-02</v>
      </c>
      <c r="E277" s="2" t="s">
        <v>34</v>
      </c>
      <c r="F277" s="4" t="s">
        <v>35</v>
      </c>
      <c r="G277" s="5" t="n">
        <v>4380</v>
      </c>
      <c r="H277" s="2"/>
    </row>
    <row r="278" customFormat="false" ht="15" hidden="false" customHeight="false" outlineLevel="0" collapsed="false">
      <c r="A278" s="2" t="s">
        <v>8</v>
      </c>
      <c r="B278" s="2" t="s">
        <v>140</v>
      </c>
      <c r="C278" s="3" t="n">
        <v>46073</v>
      </c>
      <c r="D278" s="2" t="str">
        <f aca="false">TEXT(C278,"YYYY-MM")</f>
        <v>2026-02</v>
      </c>
      <c r="E278" s="2" t="s">
        <v>114</v>
      </c>
      <c r="F278" s="4" t="s">
        <v>28</v>
      </c>
      <c r="G278" s="5" t="n">
        <v>55000</v>
      </c>
      <c r="H278" s="4" t="s">
        <v>115</v>
      </c>
    </row>
    <row r="279" customFormat="false" ht="15" hidden="false" customHeight="false" outlineLevel="0" collapsed="false">
      <c r="A279" s="2" t="s">
        <v>8</v>
      </c>
      <c r="B279" s="2" t="s">
        <v>140</v>
      </c>
      <c r="C279" s="3" t="n">
        <v>46073</v>
      </c>
      <c r="D279" s="2" t="str">
        <f aca="false">TEXT(C279,"YYYY-MM")</f>
        <v>2026-02</v>
      </c>
      <c r="E279" s="4" t="s">
        <v>46</v>
      </c>
      <c r="F279" s="4" t="s">
        <v>13</v>
      </c>
      <c r="G279" s="5" t="n">
        <v>10880</v>
      </c>
      <c r="H279" s="4" t="s">
        <v>47</v>
      </c>
    </row>
    <row r="280" customFormat="false" ht="15" hidden="false" customHeight="false" outlineLevel="0" collapsed="false">
      <c r="A280" s="2" t="s">
        <v>8</v>
      </c>
      <c r="B280" s="2" t="s">
        <v>140</v>
      </c>
      <c r="C280" s="3" t="n">
        <v>46073</v>
      </c>
      <c r="D280" s="2" t="str">
        <f aca="false">TEXT(C280,"YYYY-MM")</f>
        <v>2026-02</v>
      </c>
      <c r="E280" s="4" t="s">
        <v>46</v>
      </c>
      <c r="F280" s="4" t="s">
        <v>13</v>
      </c>
      <c r="G280" s="5" t="n">
        <v>10880</v>
      </c>
      <c r="H280" s="4" t="s">
        <v>47</v>
      </c>
    </row>
    <row r="281" customFormat="false" ht="15" hidden="false" customHeight="false" outlineLevel="0" collapsed="false">
      <c r="A281" s="2" t="s">
        <v>8</v>
      </c>
      <c r="B281" s="2" t="s">
        <v>140</v>
      </c>
      <c r="C281" s="3" t="n">
        <v>46076</v>
      </c>
      <c r="D281" s="2" t="str">
        <f aca="false">TEXT(C281,"YYYY-MM")</f>
        <v>2026-02</v>
      </c>
      <c r="E281" s="2" t="s">
        <v>34</v>
      </c>
      <c r="F281" s="4" t="s">
        <v>35</v>
      </c>
      <c r="G281" s="5" t="n">
        <v>740</v>
      </c>
      <c r="H281" s="2"/>
    </row>
    <row r="282" customFormat="false" ht="15" hidden="false" customHeight="false" outlineLevel="0" collapsed="false">
      <c r="A282" s="2" t="s">
        <v>8</v>
      </c>
      <c r="B282" s="2" t="s">
        <v>140</v>
      </c>
      <c r="C282" s="3" t="n">
        <v>46078</v>
      </c>
      <c r="D282" s="2" t="str">
        <f aca="false">TEXT(C282,"YYYY-MM")</f>
        <v>2026-02</v>
      </c>
      <c r="E282" s="4" t="s">
        <v>78</v>
      </c>
      <c r="F282" s="4" t="s">
        <v>58</v>
      </c>
      <c r="G282" s="5" t="n">
        <v>127958</v>
      </c>
      <c r="H282" s="4" t="s">
        <v>79</v>
      </c>
    </row>
    <row r="283" customFormat="false" ht="15" hidden="false" customHeight="false" outlineLevel="0" collapsed="false">
      <c r="A283" s="2" t="s">
        <v>8</v>
      </c>
      <c r="B283" s="2" t="s">
        <v>140</v>
      </c>
      <c r="C283" s="3" t="n">
        <v>46079</v>
      </c>
      <c r="D283" s="2" t="str">
        <f aca="false">TEXT(C283,"YYYY-MM")</f>
        <v>2026-02</v>
      </c>
      <c r="E283" s="4" t="s">
        <v>81</v>
      </c>
      <c r="F283" s="4" t="s">
        <v>35</v>
      </c>
      <c r="G283" s="5" t="n">
        <v>4980</v>
      </c>
      <c r="H283" s="2"/>
    </row>
    <row r="284" customFormat="false" ht="15" hidden="false" customHeight="false" outlineLevel="0" collapsed="false">
      <c r="A284" s="2" t="s">
        <v>8</v>
      </c>
      <c r="B284" s="2" t="s">
        <v>140</v>
      </c>
      <c r="C284" s="3" t="n">
        <v>46079</v>
      </c>
      <c r="D284" s="2" t="str">
        <f aca="false">TEXT(C284,"YYYY-MM")</f>
        <v>2026-02</v>
      </c>
      <c r="E284" s="2" t="s">
        <v>133</v>
      </c>
      <c r="F284" s="4" t="s">
        <v>15</v>
      </c>
      <c r="G284" s="5" t="n">
        <v>4253</v>
      </c>
      <c r="H284" s="4" t="s">
        <v>83</v>
      </c>
    </row>
    <row r="285" customFormat="false" ht="15" hidden="false" customHeight="false" outlineLevel="0" collapsed="false">
      <c r="A285" s="2" t="s">
        <v>8</v>
      </c>
      <c r="B285" s="2" t="s">
        <v>140</v>
      </c>
      <c r="C285" s="3" t="n">
        <v>46079</v>
      </c>
      <c r="D285" s="2" t="str">
        <f aca="false">TEXT(C285,"YYYY-MM")</f>
        <v>2026-02</v>
      </c>
      <c r="E285" s="2" t="s">
        <v>12</v>
      </c>
      <c r="F285" s="4" t="s">
        <v>13</v>
      </c>
      <c r="G285" s="5" t="n">
        <v>3500</v>
      </c>
      <c r="H285" s="2"/>
    </row>
    <row r="286" customFormat="false" ht="15" hidden="false" customHeight="false" outlineLevel="0" collapsed="false">
      <c r="A286" s="2" t="s">
        <v>8</v>
      </c>
      <c r="B286" s="2" t="s">
        <v>140</v>
      </c>
      <c r="C286" s="3" t="n">
        <v>46081</v>
      </c>
      <c r="D286" s="2" t="str">
        <f aca="false">TEXT(C286,"YYYY-MM")</f>
        <v>2026-02</v>
      </c>
      <c r="E286" s="4" t="s">
        <v>94</v>
      </c>
      <c r="F286" s="4" t="s">
        <v>87</v>
      </c>
      <c r="G286" s="5" t="n">
        <v>10780</v>
      </c>
      <c r="H286" s="4" t="s">
        <v>95</v>
      </c>
    </row>
    <row r="287" customFormat="false" ht="15" hidden="false" customHeight="false" outlineLevel="0" collapsed="false">
      <c r="A287" s="2" t="s">
        <v>8</v>
      </c>
      <c r="B287" s="2" t="s">
        <v>140</v>
      </c>
      <c r="C287" s="3" t="n">
        <v>46081</v>
      </c>
      <c r="D287" s="2" t="str">
        <f aca="false">TEXT(C287,"YYYY-MM")</f>
        <v>2026-02</v>
      </c>
      <c r="E287" s="4" t="s">
        <v>86</v>
      </c>
      <c r="F287" s="4" t="s">
        <v>87</v>
      </c>
      <c r="G287" s="5" t="n">
        <v>22000</v>
      </c>
      <c r="H287" s="4" t="s">
        <v>88</v>
      </c>
    </row>
    <row r="288" customFormat="false" ht="15" hidden="false" customHeight="false" outlineLevel="0" collapsed="false">
      <c r="A288" s="2" t="s">
        <v>8</v>
      </c>
      <c r="B288" s="2" t="s">
        <v>161</v>
      </c>
      <c r="C288" s="3" t="n">
        <v>46081</v>
      </c>
      <c r="D288" s="2" t="str">
        <f aca="false">TEXT(C288,"YYYY-MM")</f>
        <v>2026-02</v>
      </c>
      <c r="E288" s="4" t="s">
        <v>14</v>
      </c>
      <c r="F288" s="4" t="s">
        <v>15</v>
      </c>
      <c r="G288" s="5" t="n">
        <v>4708</v>
      </c>
      <c r="H288" s="2"/>
    </row>
    <row r="289" customFormat="false" ht="15" hidden="false" customHeight="false" outlineLevel="0" collapsed="false">
      <c r="A289" s="2" t="s">
        <v>8</v>
      </c>
      <c r="B289" s="2" t="s">
        <v>161</v>
      </c>
      <c r="C289" s="3" t="n">
        <v>46081</v>
      </c>
      <c r="D289" s="2" t="str">
        <f aca="false">TEXT(C289,"YYYY-MM")</f>
        <v>2026-02</v>
      </c>
      <c r="E289" s="4" t="s">
        <v>14</v>
      </c>
      <c r="F289" s="4" t="s">
        <v>15</v>
      </c>
      <c r="G289" s="5" t="n">
        <v>1559</v>
      </c>
      <c r="H289" s="2"/>
    </row>
    <row r="290" customFormat="false" ht="15" hidden="false" customHeight="false" outlineLevel="0" collapsed="false">
      <c r="A290" s="2" t="s">
        <v>8</v>
      </c>
      <c r="B290" s="2" t="s">
        <v>161</v>
      </c>
      <c r="C290" s="3" t="n">
        <v>46081</v>
      </c>
      <c r="D290" s="2" t="str">
        <f aca="false">TEXT(C290,"YYYY-MM")</f>
        <v>2026-02</v>
      </c>
      <c r="E290" s="4" t="s">
        <v>14</v>
      </c>
      <c r="F290" s="4" t="s">
        <v>15</v>
      </c>
      <c r="G290" s="5" t="n">
        <v>1763</v>
      </c>
      <c r="H290" s="2"/>
    </row>
    <row r="291" customFormat="false" ht="15" hidden="false" customHeight="false" outlineLevel="0" collapsed="false">
      <c r="A291" s="2" t="s">
        <v>8</v>
      </c>
      <c r="B291" s="2" t="s">
        <v>161</v>
      </c>
      <c r="C291" s="3" t="n">
        <v>46081</v>
      </c>
      <c r="D291" s="2" t="str">
        <f aca="false">TEXT(C291,"YYYY-MM")</f>
        <v>2026-02</v>
      </c>
      <c r="E291" s="4" t="s">
        <v>14</v>
      </c>
      <c r="F291" s="4" t="s">
        <v>15</v>
      </c>
      <c r="G291" s="5" t="n">
        <v>1543</v>
      </c>
      <c r="H291" s="2"/>
    </row>
    <row r="292" customFormat="false" ht="15" hidden="false" customHeight="false" outlineLevel="0" collapsed="false">
      <c r="A292" s="2" t="s">
        <v>8</v>
      </c>
      <c r="B292" s="2" t="s">
        <v>161</v>
      </c>
      <c r="C292" s="3" t="n">
        <v>46081</v>
      </c>
      <c r="D292" s="2" t="str">
        <f aca="false">TEXT(C292,"YYYY-MM")</f>
        <v>2026-02</v>
      </c>
      <c r="E292" s="4" t="s">
        <v>14</v>
      </c>
      <c r="F292" s="4" t="s">
        <v>15</v>
      </c>
      <c r="G292" s="5" t="n">
        <v>2555</v>
      </c>
      <c r="H292" s="2"/>
    </row>
    <row r="293" customFormat="false" ht="15" hidden="false" customHeight="false" outlineLevel="0" collapsed="false">
      <c r="A293" s="2" t="s">
        <v>8</v>
      </c>
      <c r="B293" s="2" t="s">
        <v>161</v>
      </c>
      <c r="C293" s="3" t="n">
        <v>46082</v>
      </c>
      <c r="D293" s="2" t="str">
        <f aca="false">TEXT(C293,"YYYY-MM")</f>
        <v>2026-03</v>
      </c>
      <c r="E293" s="2" t="s">
        <v>19</v>
      </c>
      <c r="F293" s="4" t="s">
        <v>15</v>
      </c>
      <c r="G293" s="5" t="n">
        <v>5177</v>
      </c>
      <c r="H293" s="2"/>
    </row>
    <row r="294" customFormat="false" ht="15" hidden="false" customHeight="false" outlineLevel="0" collapsed="false">
      <c r="A294" s="2" t="s">
        <v>8</v>
      </c>
      <c r="B294" s="2" t="s">
        <v>161</v>
      </c>
      <c r="C294" s="3" t="n">
        <v>46084</v>
      </c>
      <c r="D294" s="2" t="str">
        <f aca="false">TEXT(C294,"YYYY-MM")</f>
        <v>2026-03</v>
      </c>
      <c r="E294" s="4" t="s">
        <v>162</v>
      </c>
      <c r="F294" s="4" t="s">
        <v>11</v>
      </c>
      <c r="G294" s="5" t="n">
        <v>1365</v>
      </c>
      <c r="H294" s="2"/>
    </row>
    <row r="295" customFormat="false" ht="15" hidden="false" customHeight="false" outlineLevel="0" collapsed="false">
      <c r="A295" s="2" t="s">
        <v>8</v>
      </c>
      <c r="B295" s="2" t="s">
        <v>161</v>
      </c>
      <c r="C295" s="3" t="n">
        <v>46085</v>
      </c>
      <c r="D295" s="2" t="str">
        <f aca="false">TEXT(C295,"YYYY-MM")</f>
        <v>2026-03</v>
      </c>
      <c r="E295" s="2" t="s">
        <v>34</v>
      </c>
      <c r="F295" s="4" t="s">
        <v>35</v>
      </c>
      <c r="G295" s="5" t="n">
        <v>1500</v>
      </c>
      <c r="H295" s="2"/>
    </row>
    <row r="296" customFormat="false" ht="15" hidden="false" customHeight="false" outlineLevel="0" collapsed="false">
      <c r="A296" s="2" t="s">
        <v>8</v>
      </c>
      <c r="B296" s="2" t="s">
        <v>161</v>
      </c>
      <c r="C296" s="3" t="n">
        <v>46086</v>
      </c>
      <c r="D296" s="2" t="str">
        <f aca="false">TEXT(C296,"YYYY-MM")</f>
        <v>2026-03</v>
      </c>
      <c r="E296" s="2" t="s">
        <v>44</v>
      </c>
      <c r="F296" s="4" t="s">
        <v>35</v>
      </c>
      <c r="G296" s="5" t="n">
        <v>2900</v>
      </c>
      <c r="H296" s="2"/>
    </row>
    <row r="297" customFormat="false" ht="15" hidden="false" customHeight="false" outlineLevel="0" collapsed="false">
      <c r="A297" s="2" t="s">
        <v>8</v>
      </c>
      <c r="B297" s="2" t="s">
        <v>161</v>
      </c>
      <c r="C297" s="3" t="n">
        <v>46086</v>
      </c>
      <c r="D297" s="2" t="str">
        <f aca="false">TEXT(C297,"YYYY-MM")</f>
        <v>2026-03</v>
      </c>
      <c r="E297" s="4" t="s">
        <v>145</v>
      </c>
      <c r="F297" s="4" t="s">
        <v>11</v>
      </c>
      <c r="G297" s="5" t="n">
        <v>8427</v>
      </c>
      <c r="H297" s="2"/>
    </row>
    <row r="298" customFormat="false" ht="15" hidden="false" customHeight="false" outlineLevel="0" collapsed="false">
      <c r="A298" s="2" t="s">
        <v>8</v>
      </c>
      <c r="B298" s="2" t="s">
        <v>161</v>
      </c>
      <c r="C298" s="3" t="n">
        <v>46086</v>
      </c>
      <c r="D298" s="2" t="str">
        <f aca="false">TEXT(C298,"YYYY-MM")</f>
        <v>2026-03</v>
      </c>
      <c r="E298" s="4" t="s">
        <v>163</v>
      </c>
      <c r="F298" s="4" t="s">
        <v>37</v>
      </c>
      <c r="G298" s="5" t="n">
        <v>29600</v>
      </c>
      <c r="H298" s="2"/>
    </row>
    <row r="299" customFormat="false" ht="15" hidden="false" customHeight="false" outlineLevel="0" collapsed="false">
      <c r="A299" s="2" t="s">
        <v>8</v>
      </c>
      <c r="B299" s="2" t="s">
        <v>161</v>
      </c>
      <c r="C299" s="3" t="n">
        <v>46087</v>
      </c>
      <c r="D299" s="2" t="str">
        <f aca="false">TEXT(C299,"YYYY-MM")</f>
        <v>2026-03</v>
      </c>
      <c r="E299" s="2" t="s">
        <v>164</v>
      </c>
      <c r="F299" s="4" t="s">
        <v>22</v>
      </c>
      <c r="G299" s="5" t="n">
        <v>1450</v>
      </c>
      <c r="H299" s="4" t="s">
        <v>42</v>
      </c>
    </row>
    <row r="300" customFormat="false" ht="15" hidden="false" customHeight="false" outlineLevel="0" collapsed="false">
      <c r="A300" s="2" t="s">
        <v>8</v>
      </c>
      <c r="B300" s="2" t="s">
        <v>161</v>
      </c>
      <c r="C300" s="3" t="n">
        <v>46090</v>
      </c>
      <c r="D300" s="2" t="str">
        <f aca="false">TEXT(C300,"YYYY-MM")</f>
        <v>2026-03</v>
      </c>
      <c r="E300" s="2" t="s">
        <v>52</v>
      </c>
      <c r="F300" s="4" t="s">
        <v>35</v>
      </c>
      <c r="G300" s="5" t="n">
        <v>1280</v>
      </c>
      <c r="H300" s="2"/>
    </row>
    <row r="301" customFormat="false" ht="15" hidden="false" customHeight="false" outlineLevel="0" collapsed="false">
      <c r="A301" s="2" t="s">
        <v>8</v>
      </c>
      <c r="B301" s="2" t="s">
        <v>161</v>
      </c>
      <c r="C301" s="3" t="n">
        <v>46092</v>
      </c>
      <c r="D301" s="2" t="str">
        <f aca="false">TEXT(C301,"YYYY-MM")</f>
        <v>2026-03</v>
      </c>
      <c r="E301" s="4" t="s">
        <v>46</v>
      </c>
      <c r="F301" s="4" t="s">
        <v>13</v>
      </c>
      <c r="G301" s="5" t="n">
        <v>10880</v>
      </c>
      <c r="H301" s="4" t="s">
        <v>47</v>
      </c>
    </row>
    <row r="302" customFormat="false" ht="15" hidden="false" customHeight="false" outlineLevel="0" collapsed="false">
      <c r="A302" s="2" t="s">
        <v>8</v>
      </c>
      <c r="B302" s="2" t="s">
        <v>161</v>
      </c>
      <c r="C302" s="3" t="n">
        <v>46092</v>
      </c>
      <c r="D302" s="2" t="str">
        <f aca="false">TEXT(C302,"YYYY-MM")</f>
        <v>2026-03</v>
      </c>
      <c r="E302" s="4" t="s">
        <v>128</v>
      </c>
      <c r="F302" s="4" t="s">
        <v>22</v>
      </c>
      <c r="G302" s="5" t="n">
        <v>1380</v>
      </c>
      <c r="H302" s="2"/>
    </row>
    <row r="303" customFormat="false" ht="15" hidden="false" customHeight="false" outlineLevel="0" collapsed="false">
      <c r="A303" s="2" t="s">
        <v>8</v>
      </c>
      <c r="B303" s="2" t="s">
        <v>161</v>
      </c>
      <c r="C303" s="3" t="n">
        <v>46093</v>
      </c>
      <c r="D303" s="2" t="str">
        <f aca="false">TEXT(C303,"YYYY-MM")</f>
        <v>2026-03</v>
      </c>
      <c r="E303" s="2" t="s">
        <v>57</v>
      </c>
      <c r="F303" s="4" t="s">
        <v>58</v>
      </c>
      <c r="G303" s="5" t="n">
        <v>50000</v>
      </c>
      <c r="H303" s="4" t="s">
        <v>59</v>
      </c>
    </row>
    <row r="304" customFormat="false" ht="15" hidden="false" customHeight="false" outlineLevel="0" collapsed="false">
      <c r="A304" s="2" t="s">
        <v>8</v>
      </c>
      <c r="B304" s="2" t="s">
        <v>161</v>
      </c>
      <c r="C304" s="3" t="n">
        <v>46093</v>
      </c>
      <c r="D304" s="2" t="str">
        <f aca="false">TEXT(C304,"YYYY-MM")</f>
        <v>2026-03</v>
      </c>
      <c r="E304" s="4" t="s">
        <v>75</v>
      </c>
      <c r="F304" s="4" t="s">
        <v>13</v>
      </c>
      <c r="G304" s="5" t="n">
        <v>30875</v>
      </c>
      <c r="H304" s="4" t="s">
        <v>76</v>
      </c>
    </row>
    <row r="305" customFormat="false" ht="15" hidden="false" customHeight="false" outlineLevel="0" collapsed="false">
      <c r="A305" s="2" t="s">
        <v>8</v>
      </c>
      <c r="B305" s="2" t="s">
        <v>161</v>
      </c>
      <c r="C305" s="3" t="n">
        <v>46093</v>
      </c>
      <c r="D305" s="2" t="str">
        <f aca="false">TEXT(C305,"YYYY-MM")</f>
        <v>2026-03</v>
      </c>
      <c r="E305" s="4" t="s">
        <v>46</v>
      </c>
      <c r="F305" s="4" t="s">
        <v>13</v>
      </c>
      <c r="G305" s="5" t="n">
        <v>10880</v>
      </c>
      <c r="H305" s="4" t="s">
        <v>47</v>
      </c>
    </row>
    <row r="306" customFormat="false" ht="15" hidden="false" customHeight="false" outlineLevel="0" collapsed="false">
      <c r="A306" s="2" t="s">
        <v>8</v>
      </c>
      <c r="B306" s="2" t="s">
        <v>161</v>
      </c>
      <c r="C306" s="3" t="n">
        <v>46094</v>
      </c>
      <c r="D306" s="2" t="str">
        <f aca="false">TEXT(C306,"YYYY-MM")</f>
        <v>2026-03</v>
      </c>
      <c r="E306" s="2" t="s">
        <v>57</v>
      </c>
      <c r="F306" s="4" t="s">
        <v>58</v>
      </c>
      <c r="G306" s="5" t="n">
        <v>27500</v>
      </c>
      <c r="H306" s="4" t="s">
        <v>59</v>
      </c>
    </row>
    <row r="307" customFormat="false" ht="15" hidden="false" customHeight="false" outlineLevel="0" collapsed="false">
      <c r="A307" s="2" t="s">
        <v>8</v>
      </c>
      <c r="B307" s="2" t="s">
        <v>161</v>
      </c>
      <c r="C307" s="3" t="n">
        <v>46095</v>
      </c>
      <c r="D307" s="2" t="str">
        <f aca="false">TEXT(C307,"YYYY-MM")</f>
        <v>2026-03</v>
      </c>
      <c r="E307" s="2" t="s">
        <v>34</v>
      </c>
      <c r="F307" s="4" t="s">
        <v>35</v>
      </c>
      <c r="G307" s="5" t="n">
        <v>2380</v>
      </c>
      <c r="H307" s="2"/>
    </row>
    <row r="308" customFormat="false" ht="15" hidden="false" customHeight="false" outlineLevel="0" collapsed="false">
      <c r="A308" s="2" t="s">
        <v>8</v>
      </c>
      <c r="B308" s="2" t="s">
        <v>161</v>
      </c>
      <c r="C308" s="3" t="n">
        <v>46101</v>
      </c>
      <c r="D308" s="2" t="str">
        <f aca="false">TEXT(C308,"YYYY-MM")</f>
        <v>2026-03</v>
      </c>
      <c r="E308" s="2" t="s">
        <v>114</v>
      </c>
      <c r="F308" s="4" t="s">
        <v>28</v>
      </c>
      <c r="G308" s="5" t="n">
        <v>55000</v>
      </c>
      <c r="H308" s="4" t="s">
        <v>115</v>
      </c>
    </row>
    <row r="309" customFormat="false" ht="15" hidden="false" customHeight="false" outlineLevel="0" collapsed="false">
      <c r="A309" s="2" t="s">
        <v>8</v>
      </c>
      <c r="B309" s="2" t="s">
        <v>161</v>
      </c>
      <c r="C309" s="3" t="n">
        <v>46102</v>
      </c>
      <c r="D309" s="2" t="str">
        <f aca="false">TEXT(C309,"YYYY-MM")</f>
        <v>2026-03</v>
      </c>
      <c r="E309" s="2" t="s">
        <v>165</v>
      </c>
      <c r="F309" s="4" t="s">
        <v>17</v>
      </c>
      <c r="G309" s="5" t="n">
        <v>293480</v>
      </c>
      <c r="H309" s="4" t="s">
        <v>166</v>
      </c>
    </row>
    <row r="310" customFormat="false" ht="15" hidden="false" customHeight="false" outlineLevel="0" collapsed="false">
      <c r="A310" s="2" t="s">
        <v>8</v>
      </c>
      <c r="B310" s="2" t="s">
        <v>161</v>
      </c>
      <c r="C310" s="3" t="n">
        <v>46104</v>
      </c>
      <c r="D310" s="2" t="str">
        <f aca="false">TEXT(C310,"YYYY-MM")</f>
        <v>2026-03</v>
      </c>
      <c r="E310" s="2" t="s">
        <v>34</v>
      </c>
      <c r="F310" s="4" t="s">
        <v>35</v>
      </c>
      <c r="G310" s="5" t="n">
        <v>740</v>
      </c>
      <c r="H310" s="2"/>
    </row>
    <row r="311" customFormat="false" ht="15" hidden="false" customHeight="false" outlineLevel="0" collapsed="false">
      <c r="A311" s="2" t="s">
        <v>8</v>
      </c>
      <c r="B311" s="2" t="s">
        <v>161</v>
      </c>
      <c r="C311" s="3" t="n">
        <v>46104</v>
      </c>
      <c r="D311" s="2" t="str">
        <f aca="false">TEXT(C311,"YYYY-MM")</f>
        <v>2026-03</v>
      </c>
      <c r="E311" s="4" t="s">
        <v>46</v>
      </c>
      <c r="F311" s="4" t="s">
        <v>13</v>
      </c>
      <c r="G311" s="5" t="n">
        <v>11080</v>
      </c>
      <c r="H311" s="4" t="s">
        <v>47</v>
      </c>
    </row>
    <row r="312" customFormat="false" ht="15" hidden="false" customHeight="false" outlineLevel="0" collapsed="false">
      <c r="A312" s="2" t="s">
        <v>8</v>
      </c>
      <c r="B312" s="2" t="s">
        <v>161</v>
      </c>
      <c r="C312" s="3" t="n">
        <v>46104</v>
      </c>
      <c r="D312" s="2" t="str">
        <f aca="false">TEXT(C312,"YYYY-MM")</f>
        <v>2026-03</v>
      </c>
      <c r="E312" s="4" t="s">
        <v>46</v>
      </c>
      <c r="F312" s="4" t="s">
        <v>13</v>
      </c>
      <c r="G312" s="5" t="n">
        <v>11080</v>
      </c>
      <c r="H312" s="4" t="s">
        <v>47</v>
      </c>
    </row>
    <row r="313" customFormat="false" ht="15" hidden="false" customHeight="false" outlineLevel="0" collapsed="false">
      <c r="A313" s="2" t="s">
        <v>8</v>
      </c>
      <c r="B313" s="2" t="s">
        <v>161</v>
      </c>
      <c r="C313" s="3" t="n">
        <v>46106</v>
      </c>
      <c r="D313" s="2" t="str">
        <f aca="false">TEXT(C313,"YYYY-MM")</f>
        <v>2026-03</v>
      </c>
      <c r="E313" s="4" t="s">
        <v>167</v>
      </c>
      <c r="F313" s="4" t="s">
        <v>62</v>
      </c>
      <c r="G313" s="5" t="n">
        <v>2982104</v>
      </c>
      <c r="H313" s="4" t="s">
        <v>168</v>
      </c>
    </row>
    <row r="314" customFormat="false" ht="15" hidden="false" customHeight="false" outlineLevel="0" collapsed="false">
      <c r="A314" s="2" t="s">
        <v>8</v>
      </c>
      <c r="B314" s="2" t="s">
        <v>161</v>
      </c>
      <c r="C314" s="3" t="n">
        <v>46106</v>
      </c>
      <c r="D314" s="2" t="str">
        <f aca="false">TEXT(C314,"YYYY-MM")</f>
        <v>2026-03</v>
      </c>
      <c r="E314" s="4" t="s">
        <v>46</v>
      </c>
      <c r="F314" s="4" t="s">
        <v>13</v>
      </c>
      <c r="G314" s="5" t="n">
        <v>11080</v>
      </c>
      <c r="H314" s="4" t="s">
        <v>47</v>
      </c>
    </row>
    <row r="315" customFormat="false" ht="15" hidden="false" customHeight="false" outlineLevel="0" collapsed="false">
      <c r="A315" s="2" t="s">
        <v>8</v>
      </c>
      <c r="B315" s="2" t="s">
        <v>161</v>
      </c>
      <c r="C315" s="3" t="n">
        <v>46106</v>
      </c>
      <c r="D315" s="2" t="str">
        <f aca="false">TEXT(C315,"YYYY-MM")</f>
        <v>2026-03</v>
      </c>
      <c r="E315" s="4" t="s">
        <v>46</v>
      </c>
      <c r="F315" s="4" t="s">
        <v>13</v>
      </c>
      <c r="G315" s="5" t="n">
        <v>11080</v>
      </c>
      <c r="H315" s="4" t="s">
        <v>47</v>
      </c>
    </row>
    <row r="316" customFormat="false" ht="15" hidden="false" customHeight="false" outlineLevel="0" collapsed="false">
      <c r="A316" s="2" t="s">
        <v>8</v>
      </c>
      <c r="B316" s="2" t="s">
        <v>161</v>
      </c>
      <c r="C316" s="3" t="n">
        <v>46106</v>
      </c>
      <c r="D316" s="2" t="str">
        <f aca="false">TEXT(C316,"YYYY-MM")</f>
        <v>2026-03</v>
      </c>
      <c r="E316" s="2" t="s">
        <v>12</v>
      </c>
      <c r="F316" s="4" t="s">
        <v>13</v>
      </c>
      <c r="G316" s="5" t="n">
        <v>1210</v>
      </c>
      <c r="H316" s="2"/>
    </row>
    <row r="317" customFormat="false" ht="15" hidden="false" customHeight="false" outlineLevel="0" collapsed="false">
      <c r="A317" s="2" t="s">
        <v>8</v>
      </c>
      <c r="B317" s="2" t="s">
        <v>161</v>
      </c>
      <c r="C317" s="3" t="n">
        <v>46106</v>
      </c>
      <c r="D317" s="2" t="str">
        <f aca="false">TEXT(C317,"YYYY-MM")</f>
        <v>2026-03</v>
      </c>
      <c r="E317" s="2" t="s">
        <v>12</v>
      </c>
      <c r="F317" s="4" t="s">
        <v>13</v>
      </c>
      <c r="G317" s="5" t="n">
        <v>1210</v>
      </c>
      <c r="H317" s="2"/>
    </row>
    <row r="318" customFormat="false" ht="15" hidden="false" customHeight="false" outlineLevel="0" collapsed="false">
      <c r="A318" s="2" t="s">
        <v>8</v>
      </c>
      <c r="B318" s="2" t="s">
        <v>161</v>
      </c>
      <c r="C318" s="3" t="n">
        <v>46106</v>
      </c>
      <c r="D318" s="2" t="str">
        <f aca="false">TEXT(C318,"YYYY-MM")</f>
        <v>2026-03</v>
      </c>
      <c r="E318" s="2" t="s">
        <v>12</v>
      </c>
      <c r="F318" s="4" t="s">
        <v>13</v>
      </c>
      <c r="G318" s="5" t="n">
        <v>2000</v>
      </c>
      <c r="H318" s="2"/>
    </row>
    <row r="319" customFormat="false" ht="15" hidden="false" customHeight="false" outlineLevel="0" collapsed="false">
      <c r="A319" s="2" t="s">
        <v>8</v>
      </c>
      <c r="B319" s="2" t="s">
        <v>161</v>
      </c>
      <c r="C319" s="3" t="n">
        <v>46106</v>
      </c>
      <c r="D319" s="2" t="str">
        <f aca="false">TEXT(C319,"YYYY-MM")</f>
        <v>2026-03</v>
      </c>
      <c r="E319" s="4" t="s">
        <v>78</v>
      </c>
      <c r="F319" s="4" t="s">
        <v>58</v>
      </c>
      <c r="G319" s="5" t="n">
        <v>86495</v>
      </c>
      <c r="H319" s="4" t="s">
        <v>79</v>
      </c>
    </row>
    <row r="320" customFormat="false" ht="15" hidden="false" customHeight="false" outlineLevel="0" collapsed="false">
      <c r="A320" s="2" t="s">
        <v>8</v>
      </c>
      <c r="B320" s="2" t="s">
        <v>161</v>
      </c>
      <c r="C320" s="3" t="n">
        <v>46107</v>
      </c>
      <c r="D320" s="2" t="str">
        <f aca="false">TEXT(C320,"YYYY-MM")</f>
        <v>2026-03</v>
      </c>
      <c r="E320" s="4" t="s">
        <v>81</v>
      </c>
      <c r="F320" s="4" t="s">
        <v>35</v>
      </c>
      <c r="G320" s="5" t="n">
        <v>4980</v>
      </c>
      <c r="H320" s="2"/>
    </row>
    <row r="321" customFormat="false" ht="15" hidden="false" customHeight="false" outlineLevel="0" collapsed="false">
      <c r="A321" s="2" t="s">
        <v>8</v>
      </c>
      <c r="B321" s="2" t="s">
        <v>161</v>
      </c>
      <c r="C321" s="3" t="n">
        <v>46109</v>
      </c>
      <c r="D321" s="2" t="str">
        <f aca="false">TEXT(C321,"YYYY-MM")</f>
        <v>2026-03</v>
      </c>
      <c r="E321" s="2" t="s">
        <v>34</v>
      </c>
      <c r="F321" s="4" t="s">
        <v>35</v>
      </c>
      <c r="G321" s="5" t="n">
        <v>3000</v>
      </c>
      <c r="H321" s="2"/>
    </row>
    <row r="322" customFormat="false" ht="15" hidden="false" customHeight="false" outlineLevel="0" collapsed="false">
      <c r="A322" s="2" t="s">
        <v>8</v>
      </c>
      <c r="B322" s="2" t="s">
        <v>161</v>
      </c>
      <c r="C322" s="3" t="n">
        <v>46111</v>
      </c>
      <c r="D322" s="2" t="str">
        <f aca="false">TEXT(C322,"YYYY-MM")</f>
        <v>2026-03</v>
      </c>
      <c r="E322" s="4" t="s">
        <v>86</v>
      </c>
      <c r="F322" s="4" t="s">
        <v>87</v>
      </c>
      <c r="G322" s="5" t="n">
        <v>22000</v>
      </c>
      <c r="H322" s="4" t="s">
        <v>88</v>
      </c>
    </row>
    <row r="323" customFormat="false" ht="15" hidden="false" customHeight="false" outlineLevel="0" collapsed="false">
      <c r="A323" s="2" t="s">
        <v>8</v>
      </c>
      <c r="B323" s="2" t="s">
        <v>161</v>
      </c>
      <c r="C323" s="3" t="n">
        <v>46111</v>
      </c>
      <c r="D323" s="2" t="str">
        <f aca="false">TEXT(C323,"YYYY-MM")</f>
        <v>2026-03</v>
      </c>
      <c r="E323" s="4" t="s">
        <v>94</v>
      </c>
      <c r="F323" s="4" t="s">
        <v>87</v>
      </c>
      <c r="G323" s="5" t="n">
        <v>10780</v>
      </c>
      <c r="H323" s="4" t="s">
        <v>95</v>
      </c>
    </row>
    <row r="324" customFormat="false" ht="15" hidden="false" customHeight="false" outlineLevel="0" collapsed="false">
      <c r="A324" s="2" t="s">
        <v>8</v>
      </c>
      <c r="B324" s="2" t="s">
        <v>161</v>
      </c>
      <c r="C324" s="3" t="n">
        <v>46113</v>
      </c>
      <c r="D324" s="2" t="str">
        <f aca="false">TEXT(C324,"YYYY-MM")</f>
        <v>2026-04</v>
      </c>
      <c r="E324" s="4" t="s">
        <v>169</v>
      </c>
      <c r="F324" s="4" t="s">
        <v>11</v>
      </c>
      <c r="G324" s="5" t="n">
        <v>1151</v>
      </c>
      <c r="H324" s="2"/>
    </row>
    <row r="325" customFormat="false" ht="15" hidden="false" customHeight="false" outlineLevel="0" collapsed="false">
      <c r="A325" s="2" t="s">
        <v>8</v>
      </c>
      <c r="B325" s="2" t="s">
        <v>170</v>
      </c>
      <c r="C325" s="3" t="n">
        <v>46112</v>
      </c>
      <c r="D325" s="2" t="str">
        <f aca="false">TEXT(C325,"YYYY-MM")</f>
        <v>2026-03</v>
      </c>
      <c r="E325" s="4" t="s">
        <v>14</v>
      </c>
      <c r="F325" s="4" t="s">
        <v>15</v>
      </c>
      <c r="G325" s="5" t="n">
        <v>4834</v>
      </c>
      <c r="H325" s="2"/>
    </row>
    <row r="326" customFormat="false" ht="15" hidden="false" customHeight="false" outlineLevel="0" collapsed="false">
      <c r="A326" s="2" t="s">
        <v>8</v>
      </c>
      <c r="B326" s="2" t="s">
        <v>170</v>
      </c>
      <c r="C326" s="3" t="n">
        <v>46112</v>
      </c>
      <c r="D326" s="2" t="str">
        <f aca="false">TEXT(C326,"YYYY-MM")</f>
        <v>2026-03</v>
      </c>
      <c r="E326" s="4" t="s">
        <v>14</v>
      </c>
      <c r="F326" s="4" t="s">
        <v>15</v>
      </c>
      <c r="G326" s="5" t="n">
        <v>1585</v>
      </c>
      <c r="H326" s="2"/>
    </row>
    <row r="327" customFormat="false" ht="15" hidden="false" customHeight="false" outlineLevel="0" collapsed="false">
      <c r="A327" s="2" t="s">
        <v>8</v>
      </c>
      <c r="B327" s="2" t="s">
        <v>170</v>
      </c>
      <c r="C327" s="3" t="n">
        <v>46112</v>
      </c>
      <c r="D327" s="2" t="str">
        <f aca="false">TEXT(C327,"YYYY-MM")</f>
        <v>2026-03</v>
      </c>
      <c r="E327" s="4" t="s">
        <v>14</v>
      </c>
      <c r="F327" s="4" t="s">
        <v>15</v>
      </c>
      <c r="G327" s="5" t="n">
        <v>1765</v>
      </c>
      <c r="H327" s="2"/>
    </row>
    <row r="328" customFormat="false" ht="15" hidden="false" customHeight="false" outlineLevel="0" collapsed="false">
      <c r="A328" s="2" t="s">
        <v>8</v>
      </c>
      <c r="B328" s="2" t="s">
        <v>170</v>
      </c>
      <c r="C328" s="3" t="n">
        <v>46112</v>
      </c>
      <c r="D328" s="2" t="str">
        <f aca="false">TEXT(C328,"YYYY-MM")</f>
        <v>2026-03</v>
      </c>
      <c r="E328" s="4" t="s">
        <v>14</v>
      </c>
      <c r="F328" s="4" t="s">
        <v>15</v>
      </c>
      <c r="G328" s="5" t="n">
        <v>1545</v>
      </c>
      <c r="H328" s="2"/>
    </row>
    <row r="329" customFormat="false" ht="15" hidden="false" customHeight="false" outlineLevel="0" collapsed="false">
      <c r="A329" s="2" t="s">
        <v>8</v>
      </c>
      <c r="B329" s="2" t="s">
        <v>170</v>
      </c>
      <c r="C329" s="3" t="n">
        <v>46112</v>
      </c>
      <c r="D329" s="2" t="str">
        <f aca="false">TEXT(C329,"YYYY-MM")</f>
        <v>2026-03</v>
      </c>
      <c r="E329" s="4" t="s">
        <v>14</v>
      </c>
      <c r="F329" s="4" t="s">
        <v>15</v>
      </c>
      <c r="G329" s="5" t="n">
        <v>2653</v>
      </c>
      <c r="H329" s="2"/>
    </row>
    <row r="330" customFormat="false" ht="15" hidden="false" customHeight="false" outlineLevel="0" collapsed="false">
      <c r="A330" s="2" t="s">
        <v>8</v>
      </c>
      <c r="B330" s="2" t="s">
        <v>170</v>
      </c>
      <c r="C330" s="3" t="n">
        <v>46113</v>
      </c>
      <c r="D330" s="2" t="str">
        <f aca="false">TEXT(C330,"YYYY-MM")</f>
        <v>2026-04</v>
      </c>
      <c r="E330" s="2" t="s">
        <v>19</v>
      </c>
      <c r="F330" s="4" t="s">
        <v>15</v>
      </c>
      <c r="G330" s="5" t="n">
        <v>5175</v>
      </c>
      <c r="H330" s="2"/>
    </row>
    <row r="331" customFormat="false" ht="15" hidden="false" customHeight="false" outlineLevel="0" collapsed="false">
      <c r="A331" s="2" t="s">
        <v>8</v>
      </c>
      <c r="B331" s="2" t="s">
        <v>170</v>
      </c>
      <c r="C331" s="3" t="n">
        <v>46116</v>
      </c>
      <c r="D331" s="2" t="str">
        <f aca="false">TEXT(C331,"YYYY-MM")</f>
        <v>2026-04</v>
      </c>
      <c r="E331" s="2" t="s">
        <v>34</v>
      </c>
      <c r="F331" s="4" t="s">
        <v>35</v>
      </c>
      <c r="G331" s="5" t="n">
        <v>1500</v>
      </c>
      <c r="H331" s="2"/>
    </row>
    <row r="332" customFormat="false" ht="15" hidden="false" customHeight="false" outlineLevel="0" collapsed="false">
      <c r="A332" s="2" t="s">
        <v>8</v>
      </c>
      <c r="B332" s="2" t="s">
        <v>170</v>
      </c>
      <c r="C332" s="3" t="n">
        <v>46116</v>
      </c>
      <c r="D332" s="2" t="str">
        <f aca="false">TEXT(C332,"YYYY-MM")</f>
        <v>2026-04</v>
      </c>
      <c r="E332" s="4" t="s">
        <v>46</v>
      </c>
      <c r="F332" s="4" t="s">
        <v>13</v>
      </c>
      <c r="G332" s="5" t="n">
        <v>10880</v>
      </c>
      <c r="H332" s="4" t="s">
        <v>47</v>
      </c>
    </row>
    <row r="333" customFormat="false" ht="15" hidden="false" customHeight="false" outlineLevel="0" collapsed="false">
      <c r="A333" s="2" t="s">
        <v>8</v>
      </c>
      <c r="B333" s="2" t="s">
        <v>170</v>
      </c>
      <c r="C333" s="3" t="n">
        <v>46116</v>
      </c>
      <c r="D333" s="2" t="str">
        <f aca="false">TEXT(C333,"YYYY-MM")</f>
        <v>2026-04</v>
      </c>
      <c r="E333" s="4" t="s">
        <v>46</v>
      </c>
      <c r="F333" s="4" t="s">
        <v>13</v>
      </c>
      <c r="G333" s="5" t="n">
        <v>10880</v>
      </c>
      <c r="H333" s="4" t="s">
        <v>47</v>
      </c>
    </row>
    <row r="334" customFormat="false" ht="15" hidden="false" customHeight="false" outlineLevel="0" collapsed="false">
      <c r="A334" s="2" t="s">
        <v>8</v>
      </c>
      <c r="B334" s="2" t="s">
        <v>170</v>
      </c>
      <c r="C334" s="3" t="n">
        <v>46116</v>
      </c>
      <c r="D334" s="2" t="str">
        <f aca="false">TEXT(C334,"YYYY-MM")</f>
        <v>2026-04</v>
      </c>
      <c r="E334" s="2" t="s">
        <v>12</v>
      </c>
      <c r="F334" s="4" t="s">
        <v>13</v>
      </c>
      <c r="G334" s="5" t="n">
        <v>1300</v>
      </c>
      <c r="H334" s="2"/>
    </row>
    <row r="335" customFormat="false" ht="15" hidden="false" customHeight="false" outlineLevel="0" collapsed="false">
      <c r="A335" s="2" t="s">
        <v>8</v>
      </c>
      <c r="B335" s="2" t="s">
        <v>170</v>
      </c>
      <c r="C335" s="3" t="n">
        <v>46117</v>
      </c>
      <c r="D335" s="2" t="str">
        <f aca="false">TEXT(C335,"YYYY-MM")</f>
        <v>2026-04</v>
      </c>
      <c r="E335" s="2" t="s">
        <v>44</v>
      </c>
      <c r="F335" s="4" t="s">
        <v>35</v>
      </c>
      <c r="G335" s="5" t="n">
        <v>2900</v>
      </c>
      <c r="H335" s="2"/>
    </row>
    <row r="336" customFormat="false" ht="15" hidden="false" customHeight="false" outlineLevel="0" collapsed="false">
      <c r="A336" s="2" t="s">
        <v>8</v>
      </c>
      <c r="B336" s="2" t="s">
        <v>170</v>
      </c>
      <c r="C336" s="3" t="n">
        <v>46118</v>
      </c>
      <c r="D336" s="2" t="str">
        <f aca="false">TEXT(C336,"YYYY-MM")</f>
        <v>2026-04</v>
      </c>
      <c r="E336" s="4" t="s">
        <v>46</v>
      </c>
      <c r="F336" s="4" t="s">
        <v>13</v>
      </c>
      <c r="G336" s="5" t="n">
        <v>10680</v>
      </c>
      <c r="H336" s="4" t="s">
        <v>47</v>
      </c>
    </row>
    <row r="337" customFormat="false" ht="15" hidden="false" customHeight="false" outlineLevel="0" collapsed="false">
      <c r="A337" s="2" t="s">
        <v>8</v>
      </c>
      <c r="B337" s="2" t="s">
        <v>170</v>
      </c>
      <c r="C337" s="3" t="n">
        <v>46118</v>
      </c>
      <c r="D337" s="2" t="str">
        <f aca="false">TEXT(C337,"YYYY-MM")</f>
        <v>2026-04</v>
      </c>
      <c r="E337" s="4" t="s">
        <v>46</v>
      </c>
      <c r="F337" s="4" t="s">
        <v>13</v>
      </c>
      <c r="G337" s="5" t="n">
        <v>10680</v>
      </c>
      <c r="H337" s="4" t="s">
        <v>47</v>
      </c>
    </row>
    <row r="338" customFormat="false" ht="15" hidden="false" customHeight="false" outlineLevel="0" collapsed="false">
      <c r="A338" s="2" t="s">
        <v>8</v>
      </c>
      <c r="B338" s="2" t="s">
        <v>170</v>
      </c>
      <c r="C338" s="3" t="n">
        <v>46118</v>
      </c>
      <c r="D338" s="2" t="str">
        <f aca="false">TEXT(C338,"YYYY-MM")</f>
        <v>2026-04</v>
      </c>
      <c r="E338" s="4" t="s">
        <v>145</v>
      </c>
      <c r="F338" s="4" t="s">
        <v>11</v>
      </c>
      <c r="G338" s="5" t="n">
        <v>8109</v>
      </c>
      <c r="H338" s="2"/>
    </row>
    <row r="339" customFormat="false" ht="15" hidden="false" customHeight="false" outlineLevel="0" collapsed="false">
      <c r="A339" s="2" t="s">
        <v>8</v>
      </c>
      <c r="B339" s="2" t="s">
        <v>170</v>
      </c>
      <c r="C339" s="3" t="n">
        <v>46120</v>
      </c>
      <c r="D339" s="2" t="str">
        <f aca="false">TEXT(C339,"YYYY-MM")</f>
        <v>2026-04</v>
      </c>
      <c r="E339" s="4" t="s">
        <v>171</v>
      </c>
      <c r="F339" s="4" t="s">
        <v>13</v>
      </c>
      <c r="G339" s="5" t="n">
        <v>51474</v>
      </c>
      <c r="H339" s="4" t="s">
        <v>76</v>
      </c>
    </row>
    <row r="340" customFormat="false" ht="15" hidden="false" customHeight="false" outlineLevel="0" collapsed="false">
      <c r="A340" s="2" t="s">
        <v>8</v>
      </c>
      <c r="B340" s="2" t="s">
        <v>170</v>
      </c>
      <c r="C340" s="3" t="n">
        <v>46121</v>
      </c>
      <c r="D340" s="2" t="str">
        <f aca="false">TEXT(C340,"YYYY-MM")</f>
        <v>2026-04</v>
      </c>
      <c r="E340" s="2" t="s">
        <v>52</v>
      </c>
      <c r="F340" s="4" t="s">
        <v>35</v>
      </c>
      <c r="G340" s="5" t="n">
        <v>1280</v>
      </c>
      <c r="H340" s="2"/>
    </row>
    <row r="341" customFormat="false" ht="15" hidden="false" customHeight="false" outlineLevel="0" collapsed="false">
      <c r="A341" s="2" t="s">
        <v>8</v>
      </c>
      <c r="B341" s="2" t="s">
        <v>170</v>
      </c>
      <c r="C341" s="3" t="n">
        <v>46123</v>
      </c>
      <c r="D341" s="2" t="str">
        <f aca="false">TEXT(C341,"YYYY-MM")</f>
        <v>2026-04</v>
      </c>
      <c r="E341" s="2" t="s">
        <v>172</v>
      </c>
      <c r="F341" s="4" t="s">
        <v>173</v>
      </c>
      <c r="G341" s="5" t="n">
        <v>77000</v>
      </c>
      <c r="H341" s="4" t="s">
        <v>174</v>
      </c>
    </row>
    <row r="342" customFormat="false" ht="15" hidden="false" customHeight="false" outlineLevel="0" collapsed="false">
      <c r="A342" s="2" t="s">
        <v>8</v>
      </c>
      <c r="B342" s="2" t="s">
        <v>170</v>
      </c>
      <c r="C342" s="3" t="n">
        <v>46125</v>
      </c>
      <c r="D342" s="2" t="str">
        <f aca="false">TEXT(C342,"YYYY-MM")</f>
        <v>2026-04</v>
      </c>
      <c r="E342" s="2" t="s">
        <v>57</v>
      </c>
      <c r="F342" s="4" t="s">
        <v>58</v>
      </c>
      <c r="G342" s="5" t="n">
        <v>27500</v>
      </c>
      <c r="H342" s="4" t="s">
        <v>59</v>
      </c>
    </row>
    <row r="343" customFormat="false" ht="15" hidden="false" customHeight="false" outlineLevel="0" collapsed="false">
      <c r="A343" s="2" t="s">
        <v>8</v>
      </c>
      <c r="B343" s="2" t="s">
        <v>170</v>
      </c>
      <c r="C343" s="3" t="n">
        <v>46127</v>
      </c>
      <c r="D343" s="2" t="str">
        <f aca="false">TEXT(C343,"YYYY-MM")</f>
        <v>2026-04</v>
      </c>
      <c r="E343" s="4" t="s">
        <v>46</v>
      </c>
      <c r="F343" s="4" t="s">
        <v>13</v>
      </c>
      <c r="G343" s="5" t="n">
        <v>10680</v>
      </c>
      <c r="H343" s="4" t="s">
        <v>47</v>
      </c>
    </row>
    <row r="344" customFormat="false" ht="15" hidden="false" customHeight="false" outlineLevel="0" collapsed="false">
      <c r="A344" s="2" t="s">
        <v>8</v>
      </c>
      <c r="B344" s="2" t="s">
        <v>170</v>
      </c>
      <c r="C344" s="3" t="n">
        <v>46127</v>
      </c>
      <c r="D344" s="2" t="str">
        <f aca="false">TEXT(C344,"YYYY-MM")</f>
        <v>2026-04</v>
      </c>
      <c r="E344" s="4" t="s">
        <v>46</v>
      </c>
      <c r="F344" s="4" t="s">
        <v>13</v>
      </c>
      <c r="G344" s="5" t="n">
        <v>10680</v>
      </c>
      <c r="H344" s="4" t="s">
        <v>47</v>
      </c>
    </row>
    <row r="345" customFormat="false" ht="15" hidden="false" customHeight="false" outlineLevel="0" collapsed="false">
      <c r="A345" s="2" t="s">
        <v>8</v>
      </c>
      <c r="B345" s="2" t="s">
        <v>170</v>
      </c>
      <c r="C345" s="3" t="n">
        <v>46130</v>
      </c>
      <c r="D345" s="2" t="str">
        <f aca="false">TEXT(C345,"YYYY-MM")</f>
        <v>2026-04</v>
      </c>
      <c r="E345" s="2" t="s">
        <v>12</v>
      </c>
      <c r="F345" s="4" t="s">
        <v>13</v>
      </c>
      <c r="G345" s="5" t="n">
        <v>1700</v>
      </c>
      <c r="H345" s="2"/>
    </row>
    <row r="346" customFormat="false" ht="15" hidden="false" customHeight="false" outlineLevel="0" collapsed="false">
      <c r="A346" s="2" t="s">
        <v>8</v>
      </c>
      <c r="B346" s="2" t="s">
        <v>170</v>
      </c>
      <c r="C346" s="3" t="n">
        <v>46131</v>
      </c>
      <c r="D346" s="2" t="str">
        <f aca="false">TEXT(C346,"YYYY-MM")</f>
        <v>2026-04</v>
      </c>
      <c r="E346" s="4" t="s">
        <v>175</v>
      </c>
      <c r="F346" s="4" t="s">
        <v>11</v>
      </c>
      <c r="G346" s="5" t="n">
        <v>301</v>
      </c>
      <c r="H346" s="2"/>
    </row>
    <row r="347" customFormat="false" ht="15" hidden="false" customHeight="false" outlineLevel="0" collapsed="false">
      <c r="A347" s="2" t="s">
        <v>8</v>
      </c>
      <c r="B347" s="2" t="s">
        <v>170</v>
      </c>
      <c r="C347" s="3" t="n">
        <v>46132</v>
      </c>
      <c r="D347" s="2" t="str">
        <f aca="false">TEXT(C347,"YYYY-MM")</f>
        <v>2026-04</v>
      </c>
      <c r="E347" s="4" t="s">
        <v>49</v>
      </c>
      <c r="F347" s="4" t="s">
        <v>37</v>
      </c>
      <c r="G347" s="5" t="n">
        <v>166800</v>
      </c>
      <c r="H347" s="4" t="s">
        <v>103</v>
      </c>
    </row>
    <row r="348" customFormat="false" ht="15" hidden="false" customHeight="false" outlineLevel="0" collapsed="false">
      <c r="A348" s="2" t="s">
        <v>8</v>
      </c>
      <c r="B348" s="2" t="s">
        <v>170</v>
      </c>
      <c r="C348" s="3" t="n">
        <v>46132</v>
      </c>
      <c r="D348" s="2" t="str">
        <f aca="false">TEXT(C348,"YYYY-MM")</f>
        <v>2026-04</v>
      </c>
      <c r="E348" s="2" t="s">
        <v>114</v>
      </c>
      <c r="F348" s="4" t="s">
        <v>28</v>
      </c>
      <c r="G348" s="5" t="n">
        <v>55000</v>
      </c>
      <c r="H348" s="4" t="s">
        <v>115</v>
      </c>
    </row>
    <row r="349" customFormat="false" ht="15" hidden="false" customHeight="false" outlineLevel="0" collapsed="false">
      <c r="A349" s="2" t="s">
        <v>8</v>
      </c>
      <c r="B349" s="2" t="s">
        <v>170</v>
      </c>
      <c r="C349" s="3" t="n">
        <v>46134</v>
      </c>
      <c r="D349" s="2" t="str">
        <f aca="false">TEXT(C349,"YYYY-MM")</f>
        <v>2026-04</v>
      </c>
      <c r="E349" s="2" t="s">
        <v>176</v>
      </c>
      <c r="F349" s="4" t="s">
        <v>22</v>
      </c>
      <c r="G349" s="5" t="n">
        <v>11505</v>
      </c>
      <c r="H349" s="4" t="s">
        <v>177</v>
      </c>
    </row>
    <row r="350" customFormat="false" ht="15" hidden="false" customHeight="false" outlineLevel="0" collapsed="false">
      <c r="A350" s="2" t="s">
        <v>8</v>
      </c>
      <c r="B350" s="2" t="s">
        <v>170</v>
      </c>
      <c r="C350" s="3" t="n">
        <v>46135</v>
      </c>
      <c r="D350" s="2" t="str">
        <f aca="false">TEXT(C350,"YYYY-MM")</f>
        <v>2026-04</v>
      </c>
      <c r="E350" s="2" t="s">
        <v>34</v>
      </c>
      <c r="F350" s="4" t="s">
        <v>35</v>
      </c>
      <c r="G350" s="5" t="n">
        <v>740</v>
      </c>
      <c r="H350" s="2"/>
    </row>
    <row r="351" customFormat="false" ht="15" hidden="false" customHeight="false" outlineLevel="0" collapsed="false">
      <c r="A351" s="2" t="s">
        <v>8</v>
      </c>
      <c r="B351" s="2" t="s">
        <v>170</v>
      </c>
      <c r="C351" s="3" t="n">
        <v>46135</v>
      </c>
      <c r="D351" s="2" t="str">
        <f aca="false">TEXT(C351,"YYYY-MM")</f>
        <v>2026-04</v>
      </c>
      <c r="E351" s="2" t="s">
        <v>178</v>
      </c>
      <c r="F351" s="4" t="s">
        <v>28</v>
      </c>
      <c r="G351" s="5" t="n">
        <v>2903</v>
      </c>
      <c r="H351" s="4" t="s">
        <v>177</v>
      </c>
    </row>
    <row r="352" customFormat="false" ht="15" hidden="false" customHeight="false" outlineLevel="0" collapsed="false">
      <c r="A352" s="2" t="s">
        <v>8</v>
      </c>
      <c r="B352" s="2" t="s">
        <v>170</v>
      </c>
      <c r="C352" s="3" t="n">
        <v>46136</v>
      </c>
      <c r="D352" s="2" t="str">
        <f aca="false">TEXT(C352,"YYYY-MM")</f>
        <v>2026-04</v>
      </c>
      <c r="E352" s="2" t="s">
        <v>34</v>
      </c>
      <c r="F352" s="4" t="s">
        <v>35</v>
      </c>
      <c r="G352" s="5" t="n">
        <v>3400</v>
      </c>
      <c r="H352" s="2"/>
    </row>
    <row r="353" customFormat="false" ht="15" hidden="false" customHeight="false" outlineLevel="0" collapsed="false">
      <c r="A353" s="2" t="s">
        <v>8</v>
      </c>
      <c r="B353" s="2" t="s">
        <v>170</v>
      </c>
      <c r="C353" s="3" t="n">
        <v>46136</v>
      </c>
      <c r="D353" s="2" t="str">
        <f aca="false">TEXT(C353,"YYYY-MM")</f>
        <v>2026-04</v>
      </c>
      <c r="E353" s="2" t="s">
        <v>179</v>
      </c>
      <c r="F353" s="4" t="s">
        <v>105</v>
      </c>
      <c r="G353" s="5" t="n">
        <v>1042</v>
      </c>
      <c r="H353" s="4" t="s">
        <v>177</v>
      </c>
    </row>
    <row r="354" customFormat="false" ht="15" hidden="false" customHeight="false" outlineLevel="0" collapsed="false">
      <c r="A354" s="2" t="s">
        <v>8</v>
      </c>
      <c r="B354" s="2" t="s">
        <v>170</v>
      </c>
      <c r="C354" s="3" t="n">
        <v>46137</v>
      </c>
      <c r="D354" s="2" t="str">
        <f aca="false">TEXT(C354,"YYYY-MM")</f>
        <v>2026-04</v>
      </c>
      <c r="E354" s="4" t="s">
        <v>78</v>
      </c>
      <c r="F354" s="4" t="s">
        <v>58</v>
      </c>
      <c r="G354" s="5" t="n">
        <v>104227</v>
      </c>
      <c r="H354" s="4" t="s">
        <v>79</v>
      </c>
    </row>
    <row r="355" customFormat="false" ht="15" hidden="false" customHeight="false" outlineLevel="0" collapsed="false">
      <c r="A355" s="2" t="s">
        <v>8</v>
      </c>
      <c r="B355" s="2" t="s">
        <v>170</v>
      </c>
      <c r="C355" s="3" t="n">
        <v>46138</v>
      </c>
      <c r="D355" s="2" t="str">
        <f aca="false">TEXT(C355,"YYYY-MM")</f>
        <v>2026-04</v>
      </c>
      <c r="E355" s="4" t="s">
        <v>81</v>
      </c>
      <c r="F355" s="4" t="s">
        <v>35</v>
      </c>
      <c r="G355" s="5" t="n">
        <v>4980</v>
      </c>
      <c r="H355" s="2"/>
    </row>
    <row r="356" customFormat="false" ht="15" hidden="false" customHeight="false" outlineLevel="0" collapsed="false">
      <c r="A356" s="2" t="s">
        <v>8</v>
      </c>
      <c r="B356" s="2" t="s">
        <v>170</v>
      </c>
      <c r="C356" s="3" t="n">
        <v>46141</v>
      </c>
      <c r="D356" s="2" t="str">
        <f aca="false">TEXT(C356,"YYYY-MM")</f>
        <v>2026-04</v>
      </c>
      <c r="E356" s="2" t="s">
        <v>114</v>
      </c>
      <c r="F356" s="4" t="s">
        <v>28</v>
      </c>
      <c r="G356" s="5" t="n">
        <v>3000</v>
      </c>
      <c r="H356" s="4" t="s">
        <v>90</v>
      </c>
    </row>
    <row r="357" customFormat="false" ht="15" hidden="false" customHeight="false" outlineLevel="0" collapsed="false">
      <c r="A357" s="2" t="s">
        <v>8</v>
      </c>
      <c r="B357" s="2" t="s">
        <v>170</v>
      </c>
      <c r="C357" s="3" t="n">
        <v>46142</v>
      </c>
      <c r="D357" s="2" t="str">
        <f aca="false">TEXT(C357,"YYYY-MM")</f>
        <v>2026-04</v>
      </c>
      <c r="E357" s="4" t="s">
        <v>94</v>
      </c>
      <c r="F357" s="4" t="s">
        <v>87</v>
      </c>
      <c r="G357" s="5" t="n">
        <v>10780</v>
      </c>
      <c r="H357" s="4" t="s">
        <v>95</v>
      </c>
    </row>
    <row r="358" customFormat="false" ht="15" hidden="false" customHeight="false" outlineLevel="0" collapsed="false">
      <c r="A358" s="2" t="s">
        <v>8</v>
      </c>
      <c r="B358" s="2" t="s">
        <v>170</v>
      </c>
      <c r="C358" s="3" t="n">
        <v>46142</v>
      </c>
      <c r="D358" s="2" t="str">
        <f aca="false">TEXT(C358,"YYYY-MM")</f>
        <v>2026-04</v>
      </c>
      <c r="E358" s="4" t="s">
        <v>180</v>
      </c>
      <c r="F358" s="4" t="s">
        <v>22</v>
      </c>
      <c r="G358" s="5" t="n">
        <v>1300</v>
      </c>
      <c r="H358" s="2"/>
    </row>
    <row r="359" customFormat="false" ht="15" hidden="false" customHeight="false" outlineLevel="0" collapsed="false">
      <c r="A359" s="2" t="s">
        <v>8</v>
      </c>
      <c r="B359" s="2" t="s">
        <v>170</v>
      </c>
      <c r="C359" s="3" t="n">
        <v>46142</v>
      </c>
      <c r="D359" s="2" t="str">
        <f aca="false">TEXT(C359,"YYYY-MM")</f>
        <v>2026-04</v>
      </c>
      <c r="E359" s="4" t="s">
        <v>86</v>
      </c>
      <c r="F359" s="4" t="s">
        <v>87</v>
      </c>
      <c r="G359" s="5" t="n">
        <v>22000</v>
      </c>
      <c r="H359" s="4" t="s">
        <v>88</v>
      </c>
    </row>
    <row r="360" customFormat="false" ht="15" hidden="false" customHeight="false" outlineLevel="0" collapsed="false">
      <c r="A360" s="2" t="s">
        <v>8</v>
      </c>
      <c r="B360" s="2" t="s">
        <v>170</v>
      </c>
      <c r="C360" s="3" t="n">
        <v>46143</v>
      </c>
      <c r="D360" s="2" t="str">
        <f aca="false">TEXT(C360,"YYYY-MM")</f>
        <v>2026-05</v>
      </c>
      <c r="E360" s="2" t="s">
        <v>181</v>
      </c>
      <c r="F360" s="4" t="s">
        <v>58</v>
      </c>
      <c r="G360" s="5" t="n">
        <v>30000</v>
      </c>
      <c r="H360" s="4" t="s">
        <v>182</v>
      </c>
    </row>
    <row r="361" customFormat="false" ht="15" hidden="false" customHeight="false" outlineLevel="0" collapsed="false">
      <c r="A361" s="2" t="s">
        <v>8</v>
      </c>
      <c r="B361" s="2" t="s">
        <v>170</v>
      </c>
      <c r="C361" s="3" t="n">
        <v>46144</v>
      </c>
      <c r="D361" s="2" t="str">
        <f aca="false">TEXT(C361,"YYYY-MM")</f>
        <v>2026-05</v>
      </c>
      <c r="E361" s="4" t="s">
        <v>183</v>
      </c>
      <c r="F361" s="4" t="s">
        <v>22</v>
      </c>
      <c r="G361" s="5" t="n">
        <v>83600</v>
      </c>
      <c r="H361" s="4" t="s">
        <v>184</v>
      </c>
    </row>
    <row r="362" customFormat="false" ht="15" hidden="false" customHeight="false" outlineLevel="0" collapsed="false">
      <c r="A362" s="2" t="s">
        <v>8</v>
      </c>
      <c r="B362" s="2" t="s">
        <v>170</v>
      </c>
      <c r="C362" s="3" t="n">
        <v>46144</v>
      </c>
      <c r="D362" s="2" t="str">
        <f aca="false">TEXT(C362,"YYYY-MM")</f>
        <v>2026-05</v>
      </c>
      <c r="E362" s="4" t="s">
        <v>70</v>
      </c>
      <c r="F362" s="4" t="s">
        <v>22</v>
      </c>
      <c r="G362" s="5" t="n">
        <v>4862</v>
      </c>
      <c r="H362" s="2"/>
    </row>
    <row r="363" customFormat="false" ht="15" hidden="false" customHeight="false" outlineLevel="0" collapsed="false">
      <c r="A363" s="2" t="s">
        <v>8</v>
      </c>
      <c r="B363" s="2" t="s">
        <v>185</v>
      </c>
      <c r="C363" s="3" t="n">
        <v>46138</v>
      </c>
      <c r="D363" s="2" t="str">
        <f aca="false">TEXT(C363,"YYYY-MM")</f>
        <v>2026-04</v>
      </c>
      <c r="E363" s="2" t="s">
        <v>24</v>
      </c>
      <c r="F363" s="4" t="s">
        <v>17</v>
      </c>
      <c r="G363" s="5" t="n">
        <v>860</v>
      </c>
      <c r="H363" s="2"/>
    </row>
    <row r="364" customFormat="false" ht="15" hidden="false" customHeight="false" outlineLevel="0" collapsed="false">
      <c r="A364" s="2" t="s">
        <v>8</v>
      </c>
      <c r="B364" s="2" t="s">
        <v>185</v>
      </c>
      <c r="C364" s="3" t="n">
        <v>46138</v>
      </c>
      <c r="D364" s="2" t="str">
        <f aca="false">TEXT(C364,"YYYY-MM")</f>
        <v>2026-04</v>
      </c>
      <c r="E364" s="2" t="s">
        <v>24</v>
      </c>
      <c r="F364" s="4" t="s">
        <v>17</v>
      </c>
      <c r="G364" s="5" t="n">
        <v>1010</v>
      </c>
      <c r="H364" s="2"/>
    </row>
    <row r="365" customFormat="false" ht="15" hidden="false" customHeight="false" outlineLevel="0" collapsed="false">
      <c r="A365" s="2" t="s">
        <v>8</v>
      </c>
      <c r="B365" s="2" t="s">
        <v>185</v>
      </c>
      <c r="C365" s="3" t="n">
        <v>46141</v>
      </c>
      <c r="D365" s="2" t="str">
        <f aca="false">TEXT(C365,"YYYY-MM")</f>
        <v>2026-04</v>
      </c>
      <c r="E365" s="2" t="s">
        <v>24</v>
      </c>
      <c r="F365" s="4" t="s">
        <v>17</v>
      </c>
      <c r="G365" s="5" t="n">
        <v>880</v>
      </c>
      <c r="H365" s="2"/>
    </row>
    <row r="366" customFormat="false" ht="15" hidden="false" customHeight="false" outlineLevel="0" collapsed="false">
      <c r="A366" s="2" t="s">
        <v>8</v>
      </c>
      <c r="B366" s="2" t="s">
        <v>185</v>
      </c>
      <c r="C366" s="3" t="n">
        <v>46141</v>
      </c>
      <c r="D366" s="2" t="str">
        <f aca="false">TEXT(C366,"YYYY-MM")</f>
        <v>2026-04</v>
      </c>
      <c r="E366" s="2" t="s">
        <v>24</v>
      </c>
      <c r="F366" s="4" t="s">
        <v>17</v>
      </c>
      <c r="G366" s="5" t="n">
        <v>830</v>
      </c>
      <c r="H366" s="2"/>
    </row>
    <row r="367" customFormat="false" ht="15" hidden="false" customHeight="false" outlineLevel="0" collapsed="false">
      <c r="A367" s="2" t="s">
        <v>8</v>
      </c>
      <c r="B367" s="2" t="s">
        <v>185</v>
      </c>
      <c r="C367" s="3" t="n">
        <v>46142</v>
      </c>
      <c r="D367" s="2" t="str">
        <f aca="false">TEXT(C367,"YYYY-MM")</f>
        <v>2026-04</v>
      </c>
      <c r="E367" s="4" t="s">
        <v>14</v>
      </c>
      <c r="F367" s="4" t="s">
        <v>15</v>
      </c>
      <c r="G367" s="5" t="n">
        <v>1543</v>
      </c>
      <c r="H367" s="2"/>
    </row>
    <row r="368" customFormat="false" ht="15" hidden="false" customHeight="false" outlineLevel="0" collapsed="false">
      <c r="A368" s="2" t="s">
        <v>8</v>
      </c>
      <c r="B368" s="2" t="s">
        <v>185</v>
      </c>
      <c r="C368" s="3" t="n">
        <v>46142</v>
      </c>
      <c r="D368" s="2" t="str">
        <f aca="false">TEXT(C368,"YYYY-MM")</f>
        <v>2026-04</v>
      </c>
      <c r="E368" s="4" t="s">
        <v>14</v>
      </c>
      <c r="F368" s="4" t="s">
        <v>15</v>
      </c>
      <c r="G368" s="5" t="n">
        <v>1763</v>
      </c>
      <c r="H368" s="2"/>
    </row>
    <row r="369" customFormat="false" ht="15" hidden="false" customHeight="false" outlineLevel="0" collapsed="false">
      <c r="A369" s="2" t="s">
        <v>8</v>
      </c>
      <c r="B369" s="2" t="s">
        <v>185</v>
      </c>
      <c r="C369" s="3" t="n">
        <v>46142</v>
      </c>
      <c r="D369" s="2" t="str">
        <f aca="false">TEXT(C369,"YYYY-MM")</f>
        <v>2026-04</v>
      </c>
      <c r="E369" s="4" t="s">
        <v>14</v>
      </c>
      <c r="F369" s="4" t="s">
        <v>15</v>
      </c>
      <c r="G369" s="5" t="n">
        <v>2434</v>
      </c>
      <c r="H369" s="2"/>
    </row>
    <row r="370" customFormat="false" ht="15" hidden="false" customHeight="false" outlineLevel="0" collapsed="false">
      <c r="A370" s="2" t="s">
        <v>8</v>
      </c>
      <c r="B370" s="2" t="s">
        <v>185</v>
      </c>
      <c r="C370" s="3" t="n">
        <v>46142</v>
      </c>
      <c r="D370" s="2" t="str">
        <f aca="false">TEXT(C370,"YYYY-MM")</f>
        <v>2026-04</v>
      </c>
      <c r="E370" s="4" t="s">
        <v>14</v>
      </c>
      <c r="F370" s="4" t="s">
        <v>15</v>
      </c>
      <c r="G370" s="5" t="n">
        <v>2528</v>
      </c>
      <c r="H370" s="2"/>
    </row>
    <row r="371" customFormat="false" ht="15" hidden="false" customHeight="false" outlineLevel="0" collapsed="false">
      <c r="A371" s="2" t="s">
        <v>8</v>
      </c>
      <c r="B371" s="2" t="s">
        <v>185</v>
      </c>
      <c r="C371" s="3" t="n">
        <v>46144</v>
      </c>
      <c r="D371" s="2" t="str">
        <f aca="false">TEXT(C371,"YYYY-MM")</f>
        <v>2026-05</v>
      </c>
      <c r="E371" s="4" t="s">
        <v>186</v>
      </c>
      <c r="F371" s="4" t="s">
        <v>13</v>
      </c>
      <c r="G371" s="5" t="n">
        <v>8930</v>
      </c>
      <c r="H371" s="4" t="s">
        <v>74</v>
      </c>
    </row>
    <row r="372" customFormat="false" ht="15" hidden="false" customHeight="false" outlineLevel="0" collapsed="false">
      <c r="A372" s="2" t="s">
        <v>8</v>
      </c>
      <c r="B372" s="2" t="s">
        <v>185</v>
      </c>
      <c r="C372" s="3" t="n">
        <v>46145</v>
      </c>
      <c r="D372" s="2" t="str">
        <f aca="false">TEXT(C372,"YYYY-MM")</f>
        <v>2026-05</v>
      </c>
      <c r="E372" s="4" t="s">
        <v>187</v>
      </c>
      <c r="F372" s="4" t="s">
        <v>17</v>
      </c>
      <c r="G372" s="5" t="n">
        <v>900</v>
      </c>
      <c r="H372" s="4" t="s">
        <v>18</v>
      </c>
    </row>
    <row r="373" customFormat="false" ht="15" hidden="false" customHeight="false" outlineLevel="0" collapsed="false">
      <c r="A373" s="2" t="s">
        <v>8</v>
      </c>
      <c r="B373" s="2" t="s">
        <v>185</v>
      </c>
      <c r="C373" s="3" t="n">
        <v>46145</v>
      </c>
      <c r="D373" s="2" t="str">
        <f aca="false">TEXT(C373,"YYYY-MM")</f>
        <v>2026-05</v>
      </c>
      <c r="E373" s="2" t="s">
        <v>24</v>
      </c>
      <c r="F373" s="4" t="s">
        <v>17</v>
      </c>
      <c r="G373" s="5" t="n">
        <v>630</v>
      </c>
      <c r="H373" s="2"/>
    </row>
    <row r="374" customFormat="false" ht="15" hidden="false" customHeight="false" outlineLevel="0" collapsed="false">
      <c r="A374" s="2" t="s">
        <v>8</v>
      </c>
      <c r="B374" s="2" t="s">
        <v>185</v>
      </c>
      <c r="C374" s="3" t="n">
        <v>46145</v>
      </c>
      <c r="D374" s="2" t="str">
        <f aca="false">TEXT(C374,"YYYY-MM")</f>
        <v>2026-05</v>
      </c>
      <c r="E374" s="2" t="s">
        <v>24</v>
      </c>
      <c r="F374" s="4" t="s">
        <v>17</v>
      </c>
      <c r="G374" s="5" t="n">
        <v>580</v>
      </c>
      <c r="H374" s="2"/>
    </row>
    <row r="375" customFormat="false" ht="15" hidden="false" customHeight="false" outlineLevel="0" collapsed="false">
      <c r="A375" s="2" t="s">
        <v>8</v>
      </c>
      <c r="B375" s="2" t="s">
        <v>185</v>
      </c>
      <c r="C375" s="3" t="n">
        <v>46146</v>
      </c>
      <c r="D375" s="2" t="str">
        <f aca="false">TEXT(C375,"YYYY-MM")</f>
        <v>2026-05</v>
      </c>
      <c r="E375" s="4" t="s">
        <v>188</v>
      </c>
      <c r="F375" s="4" t="s">
        <v>22</v>
      </c>
      <c r="G375" s="5" t="n">
        <v>10820</v>
      </c>
      <c r="H375" s="2"/>
    </row>
    <row r="376" customFormat="false" ht="15" hidden="false" customHeight="false" outlineLevel="0" collapsed="false">
      <c r="A376" s="2" t="s">
        <v>8</v>
      </c>
      <c r="B376" s="2" t="s">
        <v>185</v>
      </c>
      <c r="C376" s="3" t="n">
        <v>46146</v>
      </c>
      <c r="D376" s="2" t="str">
        <f aca="false">TEXT(C376,"YYYY-MM")</f>
        <v>2026-05</v>
      </c>
      <c r="E376" s="2" t="s">
        <v>34</v>
      </c>
      <c r="F376" s="4" t="s">
        <v>35</v>
      </c>
      <c r="G376" s="5" t="n">
        <v>1500</v>
      </c>
      <c r="H376" s="2"/>
    </row>
    <row r="377" customFormat="false" ht="15" hidden="false" customHeight="false" outlineLevel="0" collapsed="false">
      <c r="A377" s="2" t="s">
        <v>8</v>
      </c>
      <c r="B377" s="2" t="s">
        <v>185</v>
      </c>
      <c r="C377" s="3" t="n">
        <v>46146</v>
      </c>
      <c r="D377" s="2" t="str">
        <f aca="false">TEXT(C377,"YYYY-MM")</f>
        <v>2026-05</v>
      </c>
      <c r="E377" s="4" t="s">
        <v>189</v>
      </c>
      <c r="F377" s="4" t="s">
        <v>22</v>
      </c>
      <c r="G377" s="5" t="n">
        <v>2010</v>
      </c>
      <c r="H377" s="2"/>
    </row>
    <row r="378" customFormat="false" ht="15" hidden="false" customHeight="false" outlineLevel="0" collapsed="false">
      <c r="A378" s="2" t="s">
        <v>8</v>
      </c>
      <c r="B378" s="2" t="s">
        <v>185</v>
      </c>
      <c r="C378" s="3" t="n">
        <v>46147</v>
      </c>
      <c r="D378" s="2" t="str">
        <f aca="false">TEXT(C378,"YYYY-MM")</f>
        <v>2026-05</v>
      </c>
      <c r="E378" s="4" t="s">
        <v>190</v>
      </c>
      <c r="F378" s="4" t="s">
        <v>22</v>
      </c>
      <c r="G378" s="5" t="n">
        <v>1480</v>
      </c>
      <c r="H378" s="4" t="s">
        <v>42</v>
      </c>
    </row>
    <row r="379" customFormat="false" ht="15" hidden="false" customHeight="false" outlineLevel="0" collapsed="false">
      <c r="A379" s="2" t="s">
        <v>8</v>
      </c>
      <c r="B379" s="2" t="s">
        <v>185</v>
      </c>
      <c r="C379" s="3" t="n">
        <v>46147</v>
      </c>
      <c r="D379" s="2" t="str">
        <f aca="false">TEXT(C379,"YYYY-MM")</f>
        <v>2026-05</v>
      </c>
      <c r="E379" s="4" t="s">
        <v>191</v>
      </c>
      <c r="F379" s="4" t="s">
        <v>22</v>
      </c>
      <c r="G379" s="5" t="n">
        <v>2420</v>
      </c>
      <c r="H379" s="2"/>
    </row>
    <row r="380" customFormat="false" ht="15" hidden="false" customHeight="false" outlineLevel="0" collapsed="false">
      <c r="A380" s="2" t="s">
        <v>8</v>
      </c>
      <c r="B380" s="2" t="s">
        <v>185</v>
      </c>
      <c r="C380" s="3" t="n">
        <v>46147</v>
      </c>
      <c r="D380" s="2" t="str">
        <f aca="false">TEXT(C380,"YYYY-MM")</f>
        <v>2026-05</v>
      </c>
      <c r="E380" s="4" t="s">
        <v>192</v>
      </c>
      <c r="F380" s="4" t="s">
        <v>137</v>
      </c>
      <c r="G380" s="5" t="n">
        <v>45210</v>
      </c>
      <c r="H380" s="4" t="s">
        <v>193</v>
      </c>
    </row>
    <row r="381" customFormat="false" ht="15" hidden="false" customHeight="false" outlineLevel="0" collapsed="false">
      <c r="A381" s="2" t="s">
        <v>8</v>
      </c>
      <c r="B381" s="2" t="s">
        <v>185</v>
      </c>
      <c r="C381" s="3" t="n">
        <v>46147</v>
      </c>
      <c r="D381" s="2" t="str">
        <f aca="false">TEXT(C381,"YYYY-MM")</f>
        <v>2026-05</v>
      </c>
      <c r="E381" s="2" t="s">
        <v>44</v>
      </c>
      <c r="F381" s="4" t="s">
        <v>35</v>
      </c>
      <c r="G381" s="5" t="n">
        <v>2900</v>
      </c>
      <c r="H381" s="2"/>
    </row>
    <row r="382" customFormat="false" ht="15" hidden="false" customHeight="false" outlineLevel="0" collapsed="false">
      <c r="A382" s="2" t="s">
        <v>8</v>
      </c>
      <c r="B382" s="2" t="s">
        <v>185</v>
      </c>
      <c r="C382" s="3" t="n">
        <v>46147</v>
      </c>
      <c r="D382" s="2" t="str">
        <f aca="false">TEXT(C382,"YYYY-MM")</f>
        <v>2026-05</v>
      </c>
      <c r="E382" s="2" t="s">
        <v>194</v>
      </c>
      <c r="F382" s="4" t="s">
        <v>17</v>
      </c>
      <c r="G382" s="5" t="n">
        <v>470</v>
      </c>
      <c r="H382" s="2"/>
    </row>
    <row r="383" customFormat="false" ht="15" hidden="false" customHeight="false" outlineLevel="0" collapsed="false">
      <c r="A383" s="2" t="s">
        <v>8</v>
      </c>
      <c r="B383" s="2" t="s">
        <v>185</v>
      </c>
      <c r="C383" s="3" t="n">
        <v>46148</v>
      </c>
      <c r="D383" s="2" t="str">
        <f aca="false">TEXT(C383,"YYYY-MM")</f>
        <v>2026-05</v>
      </c>
      <c r="E383" s="4" t="s">
        <v>129</v>
      </c>
      <c r="F383" s="4" t="s">
        <v>105</v>
      </c>
      <c r="G383" s="5" t="n">
        <v>508</v>
      </c>
      <c r="H383" s="2"/>
    </row>
    <row r="384" customFormat="false" ht="15" hidden="false" customHeight="false" outlineLevel="0" collapsed="false">
      <c r="A384" s="2" t="s">
        <v>8</v>
      </c>
      <c r="B384" s="2" t="s">
        <v>185</v>
      </c>
      <c r="C384" s="3" t="n">
        <v>46149</v>
      </c>
      <c r="D384" s="2" t="str">
        <f aca="false">TEXT(C384,"YYYY-MM")</f>
        <v>2026-05</v>
      </c>
      <c r="E384" s="4" t="s">
        <v>85</v>
      </c>
      <c r="F384" s="4" t="s">
        <v>22</v>
      </c>
      <c r="G384" s="5" t="n">
        <v>9086</v>
      </c>
      <c r="H384" s="2"/>
    </row>
    <row r="385" customFormat="false" ht="15" hidden="false" customHeight="false" outlineLevel="0" collapsed="false">
      <c r="A385" s="2" t="s">
        <v>8</v>
      </c>
      <c r="B385" s="2" t="s">
        <v>185</v>
      </c>
      <c r="C385" s="3" t="n">
        <v>46150</v>
      </c>
      <c r="D385" s="2" t="str">
        <f aca="false">TEXT(C385,"YYYY-MM")</f>
        <v>2026-05</v>
      </c>
      <c r="E385" s="2" t="s">
        <v>34</v>
      </c>
      <c r="F385" s="4" t="s">
        <v>35</v>
      </c>
      <c r="G385" s="5" t="n">
        <v>9800</v>
      </c>
      <c r="H385" s="2"/>
    </row>
    <row r="386" customFormat="false" ht="15" hidden="false" customHeight="false" outlineLevel="0" collapsed="false">
      <c r="A386" s="2" t="s">
        <v>8</v>
      </c>
      <c r="B386" s="2" t="s">
        <v>185</v>
      </c>
      <c r="C386" s="3" t="n">
        <v>46150</v>
      </c>
      <c r="D386" s="2" t="str">
        <f aca="false">TEXT(C386,"YYYY-MM")</f>
        <v>2026-05</v>
      </c>
      <c r="E386" s="4" t="s">
        <v>195</v>
      </c>
      <c r="F386" s="4" t="s">
        <v>22</v>
      </c>
      <c r="G386" s="5" t="n">
        <v>1720</v>
      </c>
      <c r="H386" s="4" t="s">
        <v>42</v>
      </c>
    </row>
    <row r="387" customFormat="false" ht="15" hidden="false" customHeight="false" outlineLevel="0" collapsed="false">
      <c r="A387" s="2" t="s">
        <v>8</v>
      </c>
      <c r="B387" s="2" t="s">
        <v>185</v>
      </c>
      <c r="C387" s="3" t="n">
        <v>46150</v>
      </c>
      <c r="D387" s="2" t="str">
        <f aca="false">TEXT(C387,"YYYY-MM")</f>
        <v>2026-05</v>
      </c>
      <c r="E387" s="2" t="s">
        <v>164</v>
      </c>
      <c r="F387" s="4" t="s">
        <v>22</v>
      </c>
      <c r="G387" s="5" t="n">
        <v>1000</v>
      </c>
      <c r="H387" s="4" t="s">
        <v>42</v>
      </c>
    </row>
    <row r="388" customFormat="false" ht="15" hidden="false" customHeight="false" outlineLevel="0" collapsed="false">
      <c r="A388" s="2" t="s">
        <v>8</v>
      </c>
      <c r="B388" s="2" t="s">
        <v>185</v>
      </c>
      <c r="C388" s="3" t="n">
        <v>46150</v>
      </c>
      <c r="D388" s="2" t="str">
        <f aca="false">TEXT(C388,"YYYY-MM")</f>
        <v>2026-05</v>
      </c>
      <c r="E388" s="4" t="s">
        <v>56</v>
      </c>
      <c r="F388" s="4" t="s">
        <v>22</v>
      </c>
      <c r="G388" s="5" t="n">
        <v>1180</v>
      </c>
      <c r="H388" s="4" t="s">
        <v>42</v>
      </c>
    </row>
    <row r="389" customFormat="false" ht="15" hidden="false" customHeight="false" outlineLevel="0" collapsed="false">
      <c r="A389" s="2" t="s">
        <v>8</v>
      </c>
      <c r="B389" s="2" t="s">
        <v>185</v>
      </c>
      <c r="C389" s="3" t="n">
        <v>46150</v>
      </c>
      <c r="D389" s="2" t="str">
        <f aca="false">TEXT(C389,"YYYY-MM")</f>
        <v>2026-05</v>
      </c>
      <c r="E389" s="4" t="s">
        <v>196</v>
      </c>
      <c r="F389" s="4" t="s">
        <v>22</v>
      </c>
      <c r="G389" s="5" t="n">
        <v>1930</v>
      </c>
      <c r="H389" s="4" t="s">
        <v>42</v>
      </c>
    </row>
    <row r="390" customFormat="false" ht="15" hidden="false" customHeight="false" outlineLevel="0" collapsed="false">
      <c r="A390" s="2" t="s">
        <v>8</v>
      </c>
      <c r="B390" s="2" t="s">
        <v>185</v>
      </c>
      <c r="C390" s="3" t="n">
        <v>46150</v>
      </c>
      <c r="D390" s="2" t="str">
        <f aca="false">TEXT(C390,"YYYY-MM")</f>
        <v>2026-05</v>
      </c>
      <c r="E390" s="4" t="s">
        <v>197</v>
      </c>
      <c r="F390" s="4" t="s">
        <v>105</v>
      </c>
      <c r="G390" s="5" t="n">
        <v>322</v>
      </c>
      <c r="H390" s="2"/>
    </row>
    <row r="391" customFormat="false" ht="15" hidden="false" customHeight="false" outlineLevel="0" collapsed="false">
      <c r="A391" s="2" t="s">
        <v>8</v>
      </c>
      <c r="B391" s="2" t="s">
        <v>185</v>
      </c>
      <c r="C391" s="3" t="n">
        <v>46150</v>
      </c>
      <c r="D391" s="2" t="str">
        <f aca="false">TEXT(C391,"YYYY-MM")</f>
        <v>2026-05</v>
      </c>
      <c r="E391" s="2" t="s">
        <v>12</v>
      </c>
      <c r="F391" s="4" t="s">
        <v>13</v>
      </c>
      <c r="G391" s="5" t="n">
        <v>2500</v>
      </c>
      <c r="H391" s="2"/>
    </row>
    <row r="392" customFormat="false" ht="15" hidden="false" customHeight="false" outlineLevel="0" collapsed="false">
      <c r="A392" s="2" t="s">
        <v>8</v>
      </c>
      <c r="B392" s="2" t="s">
        <v>185</v>
      </c>
      <c r="C392" s="3" t="n">
        <v>46151</v>
      </c>
      <c r="D392" s="2" t="str">
        <f aca="false">TEXT(C392,"YYYY-MM")</f>
        <v>2026-05</v>
      </c>
      <c r="E392" s="2" t="s">
        <v>52</v>
      </c>
      <c r="F392" s="4" t="s">
        <v>35</v>
      </c>
      <c r="G392" s="5" t="n">
        <v>1280</v>
      </c>
      <c r="H392" s="2"/>
    </row>
    <row r="393" customFormat="false" ht="15" hidden="false" customHeight="false" outlineLevel="0" collapsed="false">
      <c r="A393" s="2" t="s">
        <v>8</v>
      </c>
      <c r="B393" s="2" t="s">
        <v>185</v>
      </c>
      <c r="C393" s="3" t="n">
        <v>46151</v>
      </c>
      <c r="D393" s="2" t="str">
        <f aca="false">TEXT(C393,"YYYY-MM")</f>
        <v>2026-05</v>
      </c>
      <c r="E393" s="2" t="s">
        <v>198</v>
      </c>
      <c r="F393" s="4" t="s">
        <v>13</v>
      </c>
      <c r="G393" s="5" t="n">
        <v>8450</v>
      </c>
      <c r="H393" s="2"/>
    </row>
    <row r="394" customFormat="false" ht="15" hidden="false" customHeight="false" outlineLevel="0" collapsed="false">
      <c r="A394" s="2" t="s">
        <v>8</v>
      </c>
      <c r="B394" s="2" t="s">
        <v>185</v>
      </c>
      <c r="C394" s="3" t="n">
        <v>46151</v>
      </c>
      <c r="D394" s="2" t="str">
        <f aca="false">TEXT(C394,"YYYY-MM")</f>
        <v>2026-05</v>
      </c>
      <c r="E394" s="4" t="s">
        <v>199</v>
      </c>
      <c r="F394" s="4" t="s">
        <v>13</v>
      </c>
      <c r="G394" s="5" t="n">
        <v>26221</v>
      </c>
      <c r="H394" s="4" t="s">
        <v>76</v>
      </c>
    </row>
    <row r="395" customFormat="false" ht="15" hidden="false" customHeight="false" outlineLevel="0" collapsed="false">
      <c r="A395" s="2" t="s">
        <v>8</v>
      </c>
      <c r="B395" s="2" t="s">
        <v>185</v>
      </c>
      <c r="C395" s="3" t="n">
        <v>46151</v>
      </c>
      <c r="D395" s="2" t="str">
        <f aca="false">TEXT(C395,"YYYY-MM")</f>
        <v>2026-05</v>
      </c>
      <c r="E395" s="4" t="s">
        <v>200</v>
      </c>
      <c r="F395" s="4" t="s">
        <v>105</v>
      </c>
      <c r="G395" s="5" t="n">
        <v>466</v>
      </c>
      <c r="H395" s="2"/>
    </row>
    <row r="396" customFormat="false" ht="15" hidden="false" customHeight="false" outlineLevel="0" collapsed="false">
      <c r="A396" s="2" t="s">
        <v>8</v>
      </c>
      <c r="B396" s="2" t="s">
        <v>185</v>
      </c>
      <c r="C396" s="3" t="n">
        <v>46151</v>
      </c>
      <c r="D396" s="2" t="str">
        <f aca="false">TEXT(C396,"YYYY-MM")</f>
        <v>2026-05</v>
      </c>
      <c r="E396" s="4" t="s">
        <v>201</v>
      </c>
      <c r="F396" s="4" t="s">
        <v>13</v>
      </c>
      <c r="G396" s="5" t="n">
        <v>4700</v>
      </c>
      <c r="H396" s="4" t="s">
        <v>74</v>
      </c>
    </row>
    <row r="397" customFormat="false" ht="15" hidden="false" customHeight="false" outlineLevel="0" collapsed="false">
      <c r="A397" s="2" t="s">
        <v>8</v>
      </c>
      <c r="B397" s="2" t="s">
        <v>185</v>
      </c>
      <c r="C397" s="3" t="n">
        <v>46151</v>
      </c>
      <c r="D397" s="2" t="str">
        <f aca="false">TEXT(C397,"YYYY-MM")</f>
        <v>2026-05</v>
      </c>
      <c r="E397" s="4" t="s">
        <v>202</v>
      </c>
      <c r="F397" s="4" t="s">
        <v>13</v>
      </c>
      <c r="G397" s="5" t="n">
        <v>1200</v>
      </c>
      <c r="H397" s="4" t="s">
        <v>74</v>
      </c>
    </row>
    <row r="398" customFormat="false" ht="15" hidden="false" customHeight="false" outlineLevel="0" collapsed="false">
      <c r="A398" s="2" t="s">
        <v>8</v>
      </c>
      <c r="B398" s="2" t="s">
        <v>185</v>
      </c>
      <c r="C398" s="3" t="n">
        <v>46151</v>
      </c>
      <c r="D398" s="2" t="str">
        <f aca="false">TEXT(C398,"YYYY-MM")</f>
        <v>2026-05</v>
      </c>
      <c r="E398" s="2" t="s">
        <v>203</v>
      </c>
      <c r="F398" s="4" t="s">
        <v>28</v>
      </c>
      <c r="G398" s="5" t="n">
        <v>7798</v>
      </c>
      <c r="H398" s="4" t="s">
        <v>204</v>
      </c>
    </row>
    <row r="399" customFormat="false" ht="15" hidden="false" customHeight="false" outlineLevel="0" collapsed="false">
      <c r="A399" s="2" t="s">
        <v>8</v>
      </c>
      <c r="B399" s="2" t="s">
        <v>185</v>
      </c>
      <c r="C399" s="3" t="n">
        <v>46151</v>
      </c>
      <c r="D399" s="2" t="str">
        <f aca="false">TEXT(C399,"YYYY-MM")</f>
        <v>2026-05</v>
      </c>
      <c r="E399" s="4" t="s">
        <v>145</v>
      </c>
      <c r="F399" s="4" t="s">
        <v>11</v>
      </c>
      <c r="G399" s="5" t="n">
        <v>15973</v>
      </c>
      <c r="H399" s="2"/>
    </row>
    <row r="400" customFormat="false" ht="15" hidden="false" customHeight="false" outlineLevel="0" collapsed="false">
      <c r="A400" s="2" t="s">
        <v>8</v>
      </c>
      <c r="B400" s="2" t="s">
        <v>185</v>
      </c>
      <c r="C400" s="3" t="n">
        <v>46152</v>
      </c>
      <c r="D400" s="2" t="str">
        <f aca="false">TEXT(C400,"YYYY-MM")</f>
        <v>2026-05</v>
      </c>
      <c r="E400" s="2" t="s">
        <v>12</v>
      </c>
      <c r="F400" s="4" t="s">
        <v>13</v>
      </c>
      <c r="G400" s="5" t="n">
        <v>1100</v>
      </c>
      <c r="H400" s="2"/>
    </row>
    <row r="401" customFormat="false" ht="15" hidden="false" customHeight="false" outlineLevel="0" collapsed="false">
      <c r="A401" s="2" t="s">
        <v>8</v>
      </c>
      <c r="B401" s="2" t="s">
        <v>185</v>
      </c>
      <c r="C401" s="3" t="n">
        <v>46154</v>
      </c>
      <c r="D401" s="2" t="str">
        <f aca="false">TEXT(C401,"YYYY-MM")</f>
        <v>2026-05</v>
      </c>
      <c r="E401" s="4" t="s">
        <v>46</v>
      </c>
      <c r="F401" s="4" t="s">
        <v>13</v>
      </c>
      <c r="G401" s="5" t="n">
        <v>10880</v>
      </c>
      <c r="H401" s="4" t="s">
        <v>47</v>
      </c>
    </row>
    <row r="402" customFormat="false" ht="15" hidden="false" customHeight="false" outlineLevel="0" collapsed="false">
      <c r="A402" s="2" t="s">
        <v>8</v>
      </c>
      <c r="B402" s="2" t="s">
        <v>185</v>
      </c>
      <c r="C402" s="3" t="n">
        <v>46155</v>
      </c>
      <c r="D402" s="2" t="str">
        <f aca="false">TEXT(C402,"YYYY-MM")</f>
        <v>2026-05</v>
      </c>
      <c r="E402" s="2" t="s">
        <v>57</v>
      </c>
      <c r="F402" s="4" t="s">
        <v>58</v>
      </c>
      <c r="G402" s="5" t="n">
        <v>27500</v>
      </c>
      <c r="H402" s="4" t="s">
        <v>59</v>
      </c>
    </row>
    <row r="403" customFormat="false" ht="15" hidden="false" customHeight="false" outlineLevel="0" collapsed="false">
      <c r="A403" s="2" t="s">
        <v>8</v>
      </c>
      <c r="B403" s="2" t="s">
        <v>185</v>
      </c>
      <c r="C403" s="3" t="n">
        <v>46155</v>
      </c>
      <c r="D403" s="2" t="str">
        <f aca="false">TEXT(C403,"YYYY-MM")</f>
        <v>2026-05</v>
      </c>
      <c r="E403" s="4" t="s">
        <v>66</v>
      </c>
      <c r="F403" s="4" t="s">
        <v>62</v>
      </c>
      <c r="G403" s="5" t="n">
        <v>422887</v>
      </c>
      <c r="H403" s="2"/>
    </row>
    <row r="404" customFormat="false" ht="15" hidden="false" customHeight="false" outlineLevel="0" collapsed="false">
      <c r="A404" s="2" t="s">
        <v>8</v>
      </c>
      <c r="B404" s="2" t="s">
        <v>185</v>
      </c>
      <c r="C404" s="3" t="n">
        <v>46156</v>
      </c>
      <c r="D404" s="2" t="str">
        <f aca="false">TEXT(C404,"YYYY-MM")</f>
        <v>2026-05</v>
      </c>
      <c r="E404" s="2" t="s">
        <v>205</v>
      </c>
      <c r="F404" s="4" t="s">
        <v>13</v>
      </c>
      <c r="G404" s="5" t="n">
        <v>104329</v>
      </c>
      <c r="H404" s="4" t="s">
        <v>206</v>
      </c>
    </row>
    <row r="405" customFormat="false" ht="15" hidden="false" customHeight="false" outlineLevel="0" collapsed="false">
      <c r="A405" s="2" t="s">
        <v>8</v>
      </c>
      <c r="B405" s="2" t="s">
        <v>185</v>
      </c>
      <c r="C405" s="3" t="n">
        <v>46156</v>
      </c>
      <c r="D405" s="2" t="str">
        <f aca="false">TEXT(C405,"YYYY-MM")</f>
        <v>2026-05</v>
      </c>
      <c r="E405" s="2" t="s">
        <v>164</v>
      </c>
      <c r="F405" s="4" t="s">
        <v>22</v>
      </c>
      <c r="G405" s="5" t="n">
        <v>1000</v>
      </c>
      <c r="H405" s="4" t="s">
        <v>42</v>
      </c>
    </row>
    <row r="406" customFormat="false" ht="15" hidden="false" customHeight="false" outlineLevel="0" collapsed="false">
      <c r="A406" s="2" t="s">
        <v>8</v>
      </c>
      <c r="B406" s="2" t="s">
        <v>185</v>
      </c>
      <c r="C406" s="3" t="n">
        <v>46156</v>
      </c>
      <c r="D406" s="2" t="str">
        <f aca="false">TEXT(C406,"YYYY-MM")</f>
        <v>2026-05</v>
      </c>
      <c r="E406" s="4" t="s">
        <v>108</v>
      </c>
      <c r="F406" s="4" t="s">
        <v>37</v>
      </c>
      <c r="G406" s="5" t="n">
        <v>4735</v>
      </c>
      <c r="H406" s="2"/>
    </row>
    <row r="407" customFormat="false" ht="15" hidden="false" customHeight="false" outlineLevel="0" collapsed="false">
      <c r="A407" s="2" t="s">
        <v>8</v>
      </c>
      <c r="B407" s="2" t="s">
        <v>185</v>
      </c>
      <c r="C407" s="3" t="n">
        <v>46156</v>
      </c>
      <c r="D407" s="2" t="str">
        <f aca="false">TEXT(C407,"YYYY-MM")</f>
        <v>2026-05</v>
      </c>
      <c r="E407" s="4" t="s">
        <v>159</v>
      </c>
      <c r="F407" s="4" t="s">
        <v>22</v>
      </c>
      <c r="G407" s="5" t="n">
        <v>10560</v>
      </c>
      <c r="H407" s="2"/>
    </row>
    <row r="408" customFormat="false" ht="15" hidden="false" customHeight="false" outlineLevel="0" collapsed="false">
      <c r="A408" s="2" t="s">
        <v>8</v>
      </c>
      <c r="B408" s="2" t="s">
        <v>185</v>
      </c>
      <c r="C408" s="3" t="n">
        <v>46157</v>
      </c>
      <c r="D408" s="2" t="str">
        <f aca="false">TEXT(C408,"YYYY-MM")</f>
        <v>2026-05</v>
      </c>
      <c r="E408" s="4" t="s">
        <v>207</v>
      </c>
      <c r="F408" s="4" t="s">
        <v>58</v>
      </c>
      <c r="G408" s="5" t="n">
        <v>10104</v>
      </c>
      <c r="H408" s="2"/>
    </row>
    <row r="409" customFormat="false" ht="15" hidden="false" customHeight="false" outlineLevel="0" collapsed="false">
      <c r="A409" s="2" t="s">
        <v>8</v>
      </c>
      <c r="B409" s="2" t="s">
        <v>185</v>
      </c>
      <c r="C409" s="3" t="n">
        <v>46157</v>
      </c>
      <c r="D409" s="2" t="str">
        <f aca="false">TEXT(C409,"YYYY-MM")</f>
        <v>2026-05</v>
      </c>
      <c r="E409" s="4" t="s">
        <v>207</v>
      </c>
      <c r="F409" s="4" t="s">
        <v>58</v>
      </c>
      <c r="G409" s="5" t="n">
        <v>20625</v>
      </c>
      <c r="H409" s="2"/>
    </row>
    <row r="410" customFormat="false" ht="15" hidden="false" customHeight="false" outlineLevel="0" collapsed="false">
      <c r="A410" s="2" t="s">
        <v>8</v>
      </c>
      <c r="B410" s="2" t="s">
        <v>185</v>
      </c>
      <c r="C410" s="3" t="n">
        <v>46157</v>
      </c>
      <c r="D410" s="2" t="str">
        <f aca="false">TEXT(C410,"YYYY-MM")</f>
        <v>2026-05</v>
      </c>
      <c r="E410" s="2" t="s">
        <v>164</v>
      </c>
      <c r="F410" s="4" t="s">
        <v>22</v>
      </c>
      <c r="G410" s="5" t="n">
        <v>1000</v>
      </c>
      <c r="H410" s="4" t="s">
        <v>42</v>
      </c>
    </row>
    <row r="411" customFormat="false" ht="15" hidden="false" customHeight="false" outlineLevel="0" collapsed="false">
      <c r="A411" s="2" t="s">
        <v>8</v>
      </c>
      <c r="B411" s="2" t="s">
        <v>185</v>
      </c>
      <c r="C411" s="3" t="n">
        <v>46158</v>
      </c>
      <c r="D411" s="2" t="str">
        <f aca="false">TEXT(C411,"YYYY-MM")</f>
        <v>2026-05</v>
      </c>
      <c r="E411" s="4" t="s">
        <v>208</v>
      </c>
      <c r="F411" s="4" t="s">
        <v>22</v>
      </c>
      <c r="G411" s="5" t="n">
        <v>1210</v>
      </c>
      <c r="H411" s="2"/>
    </row>
    <row r="412" customFormat="false" ht="15" hidden="false" customHeight="false" outlineLevel="0" collapsed="false">
      <c r="A412" s="2" t="s">
        <v>8</v>
      </c>
      <c r="B412" s="2" t="s">
        <v>185</v>
      </c>
      <c r="C412" s="3" t="n">
        <v>46159</v>
      </c>
      <c r="D412" s="2" t="str">
        <f aca="false">TEXT(C412,"YYYY-MM")</f>
        <v>2026-05</v>
      </c>
      <c r="E412" s="2" t="s">
        <v>209</v>
      </c>
      <c r="F412" s="4" t="s">
        <v>13</v>
      </c>
      <c r="G412" s="5" t="n">
        <v>6605</v>
      </c>
      <c r="H412" s="4" t="s">
        <v>76</v>
      </c>
    </row>
    <row r="413" customFormat="false" ht="15" hidden="false" customHeight="false" outlineLevel="0" collapsed="false">
      <c r="A413" s="2" t="s">
        <v>8</v>
      </c>
      <c r="B413" s="2" t="s">
        <v>185</v>
      </c>
      <c r="C413" s="3" t="n">
        <v>46159</v>
      </c>
      <c r="D413" s="2" t="str">
        <f aca="false">TEXT(C413,"YYYY-MM")</f>
        <v>2026-05</v>
      </c>
      <c r="E413" s="2" t="s">
        <v>210</v>
      </c>
      <c r="F413" s="4" t="s">
        <v>13</v>
      </c>
      <c r="G413" s="5" t="n">
        <v>5014</v>
      </c>
      <c r="H413" s="4" t="s">
        <v>211</v>
      </c>
    </row>
    <row r="414" customFormat="false" ht="15" hidden="false" customHeight="false" outlineLevel="0" collapsed="false">
      <c r="A414" s="2" t="s">
        <v>8</v>
      </c>
      <c r="B414" s="2" t="s">
        <v>185</v>
      </c>
      <c r="C414" s="3" t="n">
        <v>46159</v>
      </c>
      <c r="D414" s="2" t="str">
        <f aca="false">TEXT(C414,"YYYY-MM")</f>
        <v>2026-05</v>
      </c>
      <c r="E414" s="4" t="s">
        <v>212</v>
      </c>
      <c r="F414" s="4" t="s">
        <v>22</v>
      </c>
      <c r="G414" s="5" t="n">
        <v>720</v>
      </c>
      <c r="H414" s="4" t="s">
        <v>42</v>
      </c>
    </row>
    <row r="415" customFormat="false" ht="15" hidden="false" customHeight="false" outlineLevel="0" collapsed="false">
      <c r="A415" s="2" t="s">
        <v>8</v>
      </c>
      <c r="B415" s="2" t="s">
        <v>185</v>
      </c>
      <c r="C415" s="3" t="n">
        <v>46159</v>
      </c>
      <c r="D415" s="2" t="str">
        <f aca="false">TEXT(C415,"YYYY-MM")</f>
        <v>2026-05</v>
      </c>
      <c r="E415" s="4" t="s">
        <v>46</v>
      </c>
      <c r="F415" s="4" t="s">
        <v>13</v>
      </c>
      <c r="G415" s="5" t="n">
        <v>6160</v>
      </c>
      <c r="H415" s="4" t="s">
        <v>47</v>
      </c>
    </row>
    <row r="416" customFormat="false" ht="15" hidden="false" customHeight="false" outlineLevel="0" collapsed="false">
      <c r="A416" s="2" t="s">
        <v>8</v>
      </c>
      <c r="B416" s="2" t="s">
        <v>185</v>
      </c>
      <c r="C416" s="3" t="n">
        <v>46159</v>
      </c>
      <c r="D416" s="2" t="str">
        <f aca="false">TEXT(C416,"YYYY-MM")</f>
        <v>2026-05</v>
      </c>
      <c r="E416" s="4" t="s">
        <v>46</v>
      </c>
      <c r="F416" s="4" t="s">
        <v>13</v>
      </c>
      <c r="G416" s="5" t="n">
        <v>6160</v>
      </c>
      <c r="H416" s="4" t="s">
        <v>47</v>
      </c>
    </row>
    <row r="417" customFormat="false" ht="15" hidden="false" customHeight="false" outlineLevel="0" collapsed="false">
      <c r="A417" s="2" t="s">
        <v>8</v>
      </c>
      <c r="B417" s="2" t="s">
        <v>185</v>
      </c>
      <c r="C417" s="3" t="n">
        <v>46159</v>
      </c>
      <c r="D417" s="2" t="str">
        <f aca="false">TEXT(C417,"YYYY-MM")</f>
        <v>2026-05</v>
      </c>
      <c r="E417" s="4" t="s">
        <v>46</v>
      </c>
      <c r="F417" s="4" t="s">
        <v>13</v>
      </c>
      <c r="G417" s="5" t="n">
        <v>10880</v>
      </c>
      <c r="H417" s="4" t="s">
        <v>47</v>
      </c>
    </row>
    <row r="418" customFormat="false" ht="15" hidden="false" customHeight="false" outlineLevel="0" collapsed="false">
      <c r="A418" s="2" t="s">
        <v>8</v>
      </c>
      <c r="B418" s="2" t="s">
        <v>185</v>
      </c>
      <c r="C418" s="3" t="n">
        <v>46160</v>
      </c>
      <c r="D418" s="2" t="str">
        <f aca="false">TEXT(C418,"YYYY-MM")</f>
        <v>2026-05</v>
      </c>
      <c r="E418" s="4" t="s">
        <v>213</v>
      </c>
      <c r="F418" s="4" t="s">
        <v>37</v>
      </c>
      <c r="G418" s="5" t="n">
        <v>1757</v>
      </c>
      <c r="H418" s="2"/>
    </row>
    <row r="419" customFormat="false" ht="15" hidden="false" customHeight="false" outlineLevel="0" collapsed="false">
      <c r="A419" s="2" t="s">
        <v>8</v>
      </c>
      <c r="B419" s="2" t="s">
        <v>185</v>
      </c>
      <c r="C419" s="3" t="n">
        <v>46160</v>
      </c>
      <c r="D419" s="2" t="str">
        <f aca="false">TEXT(C419,"YYYY-MM")</f>
        <v>2026-05</v>
      </c>
      <c r="E419" s="2" t="s">
        <v>164</v>
      </c>
      <c r="F419" s="4" t="s">
        <v>22</v>
      </c>
      <c r="G419" s="5" t="n">
        <v>1000</v>
      </c>
      <c r="H419" s="4" t="s">
        <v>42</v>
      </c>
    </row>
    <row r="420" customFormat="false" ht="15" hidden="false" customHeight="false" outlineLevel="0" collapsed="false">
      <c r="A420" s="2" t="s">
        <v>8</v>
      </c>
      <c r="B420" s="2" t="s">
        <v>185</v>
      </c>
      <c r="C420" s="3" t="n">
        <v>46161</v>
      </c>
      <c r="D420" s="2" t="str">
        <f aca="false">TEXT(C420,"YYYY-MM")</f>
        <v>2026-05</v>
      </c>
      <c r="E420" s="4" t="s">
        <v>49</v>
      </c>
      <c r="F420" s="4" t="s">
        <v>37</v>
      </c>
      <c r="G420" s="5" t="n">
        <v>75561</v>
      </c>
      <c r="H420" s="2"/>
    </row>
    <row r="421" customFormat="false" ht="15" hidden="false" customHeight="false" outlineLevel="0" collapsed="false">
      <c r="A421" s="2" t="s">
        <v>8</v>
      </c>
      <c r="B421" s="2" t="s">
        <v>185</v>
      </c>
      <c r="C421" s="3" t="n">
        <v>46162</v>
      </c>
      <c r="D421" s="2" t="str">
        <f aca="false">TEXT(C421,"YYYY-MM")</f>
        <v>2026-05</v>
      </c>
      <c r="E421" s="2" t="s">
        <v>114</v>
      </c>
      <c r="F421" s="4" t="s">
        <v>28</v>
      </c>
      <c r="G421" s="5" t="n">
        <v>55000</v>
      </c>
      <c r="H421" s="4" t="s">
        <v>115</v>
      </c>
    </row>
    <row r="422" customFormat="false" ht="15" hidden="false" customHeight="false" outlineLevel="0" collapsed="false">
      <c r="A422" s="2" t="s">
        <v>8</v>
      </c>
      <c r="B422" s="2" t="s">
        <v>185</v>
      </c>
      <c r="C422" s="3" t="n">
        <v>46163</v>
      </c>
      <c r="D422" s="2" t="str">
        <f aca="false">TEXT(C422,"YYYY-MM")</f>
        <v>2026-05</v>
      </c>
      <c r="E422" s="2" t="s">
        <v>214</v>
      </c>
      <c r="F422" s="4" t="s">
        <v>22</v>
      </c>
      <c r="G422" s="5" t="n">
        <v>3739</v>
      </c>
      <c r="H422" s="4" t="s">
        <v>211</v>
      </c>
    </row>
    <row r="423" customFormat="false" ht="15" hidden="false" customHeight="false" outlineLevel="0" collapsed="false">
      <c r="A423" s="2" t="s">
        <v>8</v>
      </c>
      <c r="B423" s="2" t="s">
        <v>185</v>
      </c>
      <c r="C423" s="3" t="n">
        <v>46163</v>
      </c>
      <c r="D423" s="2" t="str">
        <f aca="false">TEXT(C423,"YYYY-MM")</f>
        <v>2026-05</v>
      </c>
      <c r="E423" s="2" t="s">
        <v>215</v>
      </c>
      <c r="F423" s="4" t="s">
        <v>22</v>
      </c>
      <c r="G423" s="5" t="n">
        <v>1082</v>
      </c>
      <c r="H423" s="4" t="s">
        <v>211</v>
      </c>
    </row>
    <row r="424" customFormat="false" ht="15" hidden="false" customHeight="false" outlineLevel="0" collapsed="false">
      <c r="A424" s="2" t="s">
        <v>8</v>
      </c>
      <c r="B424" s="2" t="s">
        <v>185</v>
      </c>
      <c r="C424" s="3" t="n">
        <v>46164</v>
      </c>
      <c r="D424" s="2" t="str">
        <f aca="false">TEXT(C424,"YYYY-MM")</f>
        <v>2026-05</v>
      </c>
      <c r="E424" s="4" t="s">
        <v>207</v>
      </c>
      <c r="F424" s="4" t="s">
        <v>58</v>
      </c>
      <c r="G424" s="5" t="n">
        <v>12549</v>
      </c>
      <c r="H424" s="2"/>
    </row>
    <row r="425" customFormat="false" ht="15" hidden="false" customHeight="false" outlineLevel="0" collapsed="false">
      <c r="A425" s="2" t="s">
        <v>8</v>
      </c>
      <c r="B425" s="2" t="s">
        <v>185</v>
      </c>
      <c r="C425" s="3" t="n">
        <v>46164</v>
      </c>
      <c r="D425" s="2" t="str">
        <f aca="false">TEXT(C425,"YYYY-MM")</f>
        <v>2026-05</v>
      </c>
      <c r="E425" s="4" t="s">
        <v>207</v>
      </c>
      <c r="F425" s="4" t="s">
        <v>58</v>
      </c>
      <c r="G425" s="5" t="n">
        <v>22250</v>
      </c>
      <c r="H425" s="2"/>
    </row>
    <row r="426" customFormat="false" ht="15" hidden="false" customHeight="false" outlineLevel="0" collapsed="false">
      <c r="A426" s="2" t="s">
        <v>8</v>
      </c>
      <c r="B426" s="2" t="s">
        <v>185</v>
      </c>
      <c r="C426" s="3" t="n">
        <v>46165</v>
      </c>
      <c r="D426" s="2" t="str">
        <f aca="false">TEXT(C426,"YYYY-MM")</f>
        <v>2026-05</v>
      </c>
      <c r="E426" s="2" t="s">
        <v>34</v>
      </c>
      <c r="F426" s="4" t="s">
        <v>35</v>
      </c>
      <c r="G426" s="5" t="n">
        <v>740</v>
      </c>
      <c r="H426" s="2"/>
    </row>
    <row r="427" customFormat="false" ht="15" hidden="false" customHeight="false" outlineLevel="0" collapsed="false">
      <c r="A427" s="2" t="s">
        <v>8</v>
      </c>
      <c r="B427" s="2" t="s">
        <v>185</v>
      </c>
      <c r="C427" s="3" t="n">
        <v>46165</v>
      </c>
      <c r="D427" s="2" t="str">
        <f aca="false">TEXT(C427,"YYYY-MM")</f>
        <v>2026-05</v>
      </c>
      <c r="E427" s="4" t="s">
        <v>216</v>
      </c>
      <c r="F427" s="4" t="s">
        <v>13</v>
      </c>
      <c r="G427" s="5" t="n">
        <v>2800</v>
      </c>
      <c r="H427" s="2"/>
    </row>
    <row r="428" customFormat="false" ht="15" hidden="false" customHeight="false" outlineLevel="0" collapsed="false">
      <c r="A428" s="2" t="s">
        <v>8</v>
      </c>
      <c r="B428" s="2" t="s">
        <v>185</v>
      </c>
      <c r="C428" s="3" t="n">
        <v>46165</v>
      </c>
      <c r="D428" s="2" t="str">
        <f aca="false">TEXT(C428,"YYYY-MM")</f>
        <v>2026-05</v>
      </c>
      <c r="E428" s="4" t="s">
        <v>99</v>
      </c>
      <c r="F428" s="4" t="s">
        <v>13</v>
      </c>
      <c r="G428" s="5" t="n">
        <v>2700</v>
      </c>
      <c r="H428" s="4" t="s">
        <v>74</v>
      </c>
    </row>
    <row r="429" customFormat="false" ht="15" hidden="false" customHeight="false" outlineLevel="0" collapsed="false">
      <c r="A429" s="2" t="s">
        <v>8</v>
      </c>
      <c r="B429" s="2" t="s">
        <v>185</v>
      </c>
      <c r="C429" s="3" t="n">
        <v>46165</v>
      </c>
      <c r="D429" s="2" t="str">
        <f aca="false">TEXT(C429,"YYYY-MM")</f>
        <v>2026-05</v>
      </c>
      <c r="E429" s="2" t="s">
        <v>217</v>
      </c>
      <c r="F429" s="4" t="s">
        <v>17</v>
      </c>
      <c r="G429" s="5" t="n">
        <v>3720</v>
      </c>
      <c r="H429" s="4" t="s">
        <v>18</v>
      </c>
    </row>
    <row r="430" customFormat="false" ht="15" hidden="false" customHeight="false" outlineLevel="0" collapsed="false">
      <c r="A430" s="2" t="s">
        <v>8</v>
      </c>
      <c r="B430" s="2" t="s">
        <v>185</v>
      </c>
      <c r="C430" s="3" t="n">
        <v>46165</v>
      </c>
      <c r="D430" s="2" t="str">
        <f aca="false">TEXT(C430,"YYYY-MM")</f>
        <v>2026-05</v>
      </c>
      <c r="E430" s="4" t="s">
        <v>41</v>
      </c>
      <c r="F430" s="4" t="s">
        <v>22</v>
      </c>
      <c r="G430" s="5" t="n">
        <v>1190</v>
      </c>
      <c r="H430" s="4" t="s">
        <v>42</v>
      </c>
    </row>
    <row r="431" customFormat="false" ht="15" hidden="false" customHeight="false" outlineLevel="0" collapsed="false">
      <c r="A431" s="2" t="s">
        <v>8</v>
      </c>
      <c r="B431" s="2" t="s">
        <v>185</v>
      </c>
      <c r="C431" s="3" t="n">
        <v>46166</v>
      </c>
      <c r="D431" s="2" t="str">
        <f aca="false">TEXT(C431,"YYYY-MM")</f>
        <v>2026-05</v>
      </c>
      <c r="E431" s="2" t="s">
        <v>34</v>
      </c>
      <c r="F431" s="4" t="s">
        <v>35</v>
      </c>
      <c r="G431" s="5" t="n">
        <v>3400</v>
      </c>
      <c r="H431" s="2"/>
    </row>
    <row r="432" customFormat="false" ht="15" hidden="false" customHeight="false" outlineLevel="0" collapsed="false">
      <c r="A432" s="2" t="s">
        <v>8</v>
      </c>
      <c r="B432" s="2" t="s">
        <v>185</v>
      </c>
      <c r="C432" s="3" t="n">
        <v>46166</v>
      </c>
      <c r="D432" s="2" t="str">
        <f aca="false">TEXT(C432,"YYYY-MM")</f>
        <v>2026-05</v>
      </c>
      <c r="E432" s="4" t="s">
        <v>85</v>
      </c>
      <c r="F432" s="4" t="s">
        <v>22</v>
      </c>
      <c r="G432" s="5" t="n">
        <v>11869</v>
      </c>
      <c r="H432" s="2"/>
    </row>
    <row r="433" customFormat="false" ht="15" hidden="false" customHeight="false" outlineLevel="0" collapsed="false">
      <c r="A433" s="2" t="s">
        <v>8</v>
      </c>
      <c r="B433" s="2" t="s">
        <v>185</v>
      </c>
      <c r="C433" s="3" t="n">
        <v>46167</v>
      </c>
      <c r="D433" s="2" t="str">
        <f aca="false">TEXT(C433,"YYYY-MM")</f>
        <v>2026-05</v>
      </c>
      <c r="E433" s="4" t="s">
        <v>218</v>
      </c>
      <c r="F433" s="4" t="s">
        <v>28</v>
      </c>
      <c r="G433" s="5" t="n">
        <v>1730</v>
      </c>
      <c r="H433" s="2"/>
    </row>
    <row r="434" customFormat="false" ht="15" hidden="false" customHeight="false" outlineLevel="0" collapsed="false">
      <c r="A434" s="2" t="s">
        <v>8</v>
      </c>
      <c r="B434" s="2" t="s">
        <v>185</v>
      </c>
      <c r="C434" s="3" t="n">
        <v>46167</v>
      </c>
      <c r="D434" s="2" t="str">
        <f aca="false">TEXT(C434,"YYYY-MM")</f>
        <v>2026-05</v>
      </c>
      <c r="E434" s="4" t="s">
        <v>78</v>
      </c>
      <c r="F434" s="4" t="s">
        <v>58</v>
      </c>
      <c r="G434" s="5" t="n">
        <v>152556</v>
      </c>
      <c r="H434" s="4" t="s">
        <v>79</v>
      </c>
    </row>
    <row r="435" customFormat="false" ht="15" hidden="false" customHeight="false" outlineLevel="0" collapsed="false">
      <c r="A435" s="2" t="s">
        <v>8</v>
      </c>
      <c r="B435" s="2" t="s">
        <v>185</v>
      </c>
      <c r="C435" s="3" t="n">
        <v>46168</v>
      </c>
      <c r="D435" s="2" t="str">
        <f aca="false">TEXT(C435,"YYYY-MM")</f>
        <v>2026-05</v>
      </c>
      <c r="E435" s="4" t="s">
        <v>81</v>
      </c>
      <c r="F435" s="4" t="s">
        <v>35</v>
      </c>
      <c r="G435" s="5" t="n">
        <v>4980</v>
      </c>
      <c r="H435" s="2"/>
    </row>
    <row r="436" customFormat="false" ht="15" hidden="false" customHeight="false" outlineLevel="0" collapsed="false">
      <c r="A436" s="2" t="s">
        <v>8</v>
      </c>
      <c r="B436" s="2" t="s">
        <v>185</v>
      </c>
      <c r="C436" s="3" t="n">
        <v>46172</v>
      </c>
      <c r="D436" s="2" t="str">
        <f aca="false">TEXT(C436,"YYYY-MM")</f>
        <v>2026-05</v>
      </c>
      <c r="E436" s="4" t="s">
        <v>94</v>
      </c>
      <c r="F436" s="4" t="s">
        <v>87</v>
      </c>
      <c r="G436" s="5" t="n">
        <v>10780</v>
      </c>
      <c r="H436" s="4" t="s">
        <v>95</v>
      </c>
    </row>
    <row r="437" customFormat="false" ht="15" hidden="false" customHeight="false" outlineLevel="0" collapsed="false">
      <c r="A437" s="2" t="s">
        <v>8</v>
      </c>
      <c r="B437" s="2" t="s">
        <v>185</v>
      </c>
      <c r="C437" s="3" t="n">
        <v>46172</v>
      </c>
      <c r="D437" s="2" t="str">
        <f aca="false">TEXT(C437,"YYYY-MM")</f>
        <v>2026-05</v>
      </c>
      <c r="E437" s="4" t="s">
        <v>86</v>
      </c>
      <c r="F437" s="4" t="s">
        <v>87</v>
      </c>
      <c r="G437" s="5" t="n">
        <v>22000</v>
      </c>
      <c r="H437" s="4" t="s">
        <v>88</v>
      </c>
    </row>
    <row r="438" customFormat="false" ht="15" hidden="false" customHeight="false" outlineLevel="0" collapsed="false">
      <c r="A438" s="2" t="s">
        <v>8</v>
      </c>
      <c r="B438" s="2" t="s">
        <v>185</v>
      </c>
      <c r="C438" s="3" t="n">
        <v>46174</v>
      </c>
      <c r="D438" s="2" t="str">
        <f aca="false">TEXT(C438,"YYYY-MM")</f>
        <v>2026-06</v>
      </c>
      <c r="E438" s="2" t="s">
        <v>181</v>
      </c>
      <c r="F438" s="4" t="s">
        <v>58</v>
      </c>
      <c r="G438" s="5" t="n">
        <v>30000</v>
      </c>
      <c r="H438" s="4" t="s">
        <v>182</v>
      </c>
    </row>
    <row r="439" customFormat="false" ht="15" hidden="false" customHeight="false" outlineLevel="0" collapsed="false">
      <c r="A439" s="2" t="s">
        <v>8</v>
      </c>
      <c r="B439" s="2" t="s">
        <v>185</v>
      </c>
      <c r="C439" s="3" t="n">
        <v>46174</v>
      </c>
      <c r="D439" s="2" t="str">
        <f aca="false">TEXT(C439,"YYYY-MM")</f>
        <v>2026-06</v>
      </c>
      <c r="E439" s="4" t="s">
        <v>219</v>
      </c>
      <c r="F439" s="4" t="s">
        <v>37</v>
      </c>
      <c r="G439" s="5" t="n">
        <v>14160</v>
      </c>
      <c r="H439" s="2"/>
    </row>
    <row r="440" customFormat="false" ht="15" hidden="false" customHeight="false" outlineLevel="0" collapsed="false">
      <c r="A440" s="2" t="s">
        <v>8</v>
      </c>
      <c r="B440" s="2" t="s">
        <v>220</v>
      </c>
      <c r="C440" s="3" t="n">
        <v>46165</v>
      </c>
      <c r="D440" s="2" t="str">
        <f aca="false">TEXT(C440,"YYYY-MM")</f>
        <v>2026-05</v>
      </c>
      <c r="E440" s="2" t="s">
        <v>24</v>
      </c>
      <c r="F440" s="4" t="s">
        <v>17</v>
      </c>
      <c r="G440" s="5" t="n">
        <v>490</v>
      </c>
      <c r="H440" s="2"/>
    </row>
    <row r="441" customFormat="false" ht="15" hidden="false" customHeight="false" outlineLevel="0" collapsed="false">
      <c r="A441" s="2" t="s">
        <v>8</v>
      </c>
      <c r="B441" s="2" t="s">
        <v>220</v>
      </c>
      <c r="C441" s="3" t="n">
        <v>46165</v>
      </c>
      <c r="D441" s="2" t="str">
        <f aca="false">TEXT(C441,"YYYY-MM")</f>
        <v>2026-05</v>
      </c>
      <c r="E441" s="2" t="s">
        <v>24</v>
      </c>
      <c r="F441" s="4" t="s">
        <v>17</v>
      </c>
      <c r="G441" s="5" t="n">
        <v>700</v>
      </c>
      <c r="H441" s="2"/>
    </row>
    <row r="442" customFormat="false" ht="15" hidden="false" customHeight="false" outlineLevel="0" collapsed="false">
      <c r="A442" s="2" t="s">
        <v>8</v>
      </c>
      <c r="B442" s="2" t="s">
        <v>220</v>
      </c>
      <c r="C442" s="3" t="n">
        <v>46165</v>
      </c>
      <c r="D442" s="2" t="str">
        <f aca="false">TEXT(C442,"YYYY-MM")</f>
        <v>2026-05</v>
      </c>
      <c r="E442" s="2" t="s">
        <v>24</v>
      </c>
      <c r="F442" s="4" t="s">
        <v>17</v>
      </c>
      <c r="G442" s="5" t="n">
        <v>300</v>
      </c>
      <c r="H442" s="2"/>
    </row>
    <row r="443" customFormat="false" ht="15" hidden="false" customHeight="false" outlineLevel="0" collapsed="false">
      <c r="A443" s="2" t="s">
        <v>8</v>
      </c>
      <c r="B443" s="2" t="s">
        <v>220</v>
      </c>
      <c r="C443" s="3" t="n">
        <v>46165</v>
      </c>
      <c r="D443" s="2" t="str">
        <f aca="false">TEXT(C443,"YYYY-MM")</f>
        <v>2026-05</v>
      </c>
      <c r="E443" s="2" t="s">
        <v>221</v>
      </c>
      <c r="F443" s="4" t="s">
        <v>17</v>
      </c>
      <c r="G443" s="5" t="n">
        <v>630</v>
      </c>
      <c r="H443" s="2"/>
    </row>
    <row r="444" customFormat="false" ht="15" hidden="false" customHeight="false" outlineLevel="0" collapsed="false">
      <c r="A444" s="2" t="s">
        <v>8</v>
      </c>
      <c r="B444" s="2" t="s">
        <v>220</v>
      </c>
      <c r="C444" s="3" t="n">
        <v>46165</v>
      </c>
      <c r="D444" s="2" t="str">
        <f aca="false">TEXT(C444,"YYYY-MM")</f>
        <v>2026-05</v>
      </c>
      <c r="E444" s="2" t="s">
        <v>221</v>
      </c>
      <c r="F444" s="4" t="s">
        <v>17</v>
      </c>
      <c r="G444" s="5" t="n">
        <v>630</v>
      </c>
      <c r="H444" s="2"/>
    </row>
    <row r="445" customFormat="false" ht="15" hidden="false" customHeight="false" outlineLevel="0" collapsed="false">
      <c r="A445" s="2" t="s">
        <v>8</v>
      </c>
      <c r="B445" s="2" t="s">
        <v>220</v>
      </c>
      <c r="C445" s="3" t="n">
        <v>46166</v>
      </c>
      <c r="D445" s="2" t="str">
        <f aca="false">TEXT(C445,"YYYY-MM")</f>
        <v>2026-05</v>
      </c>
      <c r="E445" s="2" t="s">
        <v>23</v>
      </c>
      <c r="F445" s="4" t="s">
        <v>17</v>
      </c>
      <c r="G445" s="5" t="n">
        <v>990</v>
      </c>
      <c r="H445" s="2"/>
    </row>
    <row r="446" customFormat="false" ht="15" hidden="false" customHeight="false" outlineLevel="0" collapsed="false">
      <c r="A446" s="2" t="s">
        <v>8</v>
      </c>
      <c r="B446" s="2" t="s">
        <v>220</v>
      </c>
      <c r="C446" s="3" t="n">
        <v>46166</v>
      </c>
      <c r="D446" s="2" t="str">
        <f aca="false">TEXT(C446,"YYYY-MM")</f>
        <v>2026-05</v>
      </c>
      <c r="E446" s="2" t="s">
        <v>23</v>
      </c>
      <c r="F446" s="4" t="s">
        <v>17</v>
      </c>
      <c r="G446" s="5" t="n">
        <v>990</v>
      </c>
      <c r="H446" s="2"/>
    </row>
    <row r="447" customFormat="false" ht="15" hidden="false" customHeight="false" outlineLevel="0" collapsed="false">
      <c r="A447" s="2" t="s">
        <v>8</v>
      </c>
      <c r="B447" s="2" t="s">
        <v>220</v>
      </c>
      <c r="C447" s="3" t="n">
        <v>46166</v>
      </c>
      <c r="D447" s="2" t="str">
        <f aca="false">TEXT(C447,"YYYY-MM")</f>
        <v>2026-05</v>
      </c>
      <c r="E447" s="2" t="s">
        <v>24</v>
      </c>
      <c r="F447" s="4" t="s">
        <v>17</v>
      </c>
      <c r="G447" s="5" t="n">
        <v>900</v>
      </c>
      <c r="H447" s="2"/>
    </row>
    <row r="448" customFormat="false" ht="15" hidden="false" customHeight="false" outlineLevel="0" collapsed="false">
      <c r="A448" s="2" t="s">
        <v>8</v>
      </c>
      <c r="B448" s="2" t="s">
        <v>220</v>
      </c>
      <c r="C448" s="3" t="n">
        <v>46166</v>
      </c>
      <c r="D448" s="2" t="str">
        <f aca="false">TEXT(C448,"YYYY-MM")</f>
        <v>2026-05</v>
      </c>
      <c r="E448" s="2" t="s">
        <v>24</v>
      </c>
      <c r="F448" s="4" t="s">
        <v>17</v>
      </c>
      <c r="G448" s="5" t="n">
        <v>840</v>
      </c>
      <c r="H448" s="2"/>
    </row>
    <row r="449" customFormat="false" ht="15" hidden="false" customHeight="false" outlineLevel="0" collapsed="false">
      <c r="A449" s="2" t="s">
        <v>8</v>
      </c>
      <c r="B449" s="2" t="s">
        <v>220</v>
      </c>
      <c r="C449" s="3" t="n">
        <v>46172</v>
      </c>
      <c r="D449" s="2" t="str">
        <f aca="false">TEXT(C449,"YYYY-MM")</f>
        <v>2026-05</v>
      </c>
      <c r="E449" s="2" t="s">
        <v>24</v>
      </c>
      <c r="F449" s="4" t="s">
        <v>17</v>
      </c>
      <c r="G449" s="5" t="n">
        <v>300</v>
      </c>
      <c r="H449" s="2"/>
    </row>
    <row r="450" customFormat="false" ht="15" hidden="false" customHeight="false" outlineLevel="0" collapsed="false">
      <c r="A450" s="2" t="s">
        <v>8</v>
      </c>
      <c r="B450" s="2" t="s">
        <v>220</v>
      </c>
      <c r="C450" s="3" t="n">
        <v>46172</v>
      </c>
      <c r="D450" s="2" t="str">
        <f aca="false">TEXT(C450,"YYYY-MM")</f>
        <v>2026-05</v>
      </c>
      <c r="E450" s="2" t="s">
        <v>221</v>
      </c>
      <c r="F450" s="4" t="s">
        <v>17</v>
      </c>
      <c r="G450" s="5" t="n">
        <v>630</v>
      </c>
      <c r="H450" s="2"/>
    </row>
    <row r="451" customFormat="false" ht="15" hidden="false" customHeight="false" outlineLevel="0" collapsed="false">
      <c r="A451" s="2" t="s">
        <v>8</v>
      </c>
      <c r="B451" s="2" t="s">
        <v>220</v>
      </c>
      <c r="C451" s="3" t="n">
        <v>46172</v>
      </c>
      <c r="D451" s="2" t="str">
        <f aca="false">TEXT(C451,"YYYY-MM")</f>
        <v>2026-05</v>
      </c>
      <c r="E451" s="2" t="s">
        <v>221</v>
      </c>
      <c r="F451" s="4" t="s">
        <v>17</v>
      </c>
      <c r="G451" s="5" t="n">
        <v>630</v>
      </c>
      <c r="H451" s="2"/>
    </row>
    <row r="452" customFormat="false" ht="15" hidden="false" customHeight="false" outlineLevel="0" collapsed="false">
      <c r="A452" s="2" t="s">
        <v>8</v>
      </c>
      <c r="B452" s="2" t="s">
        <v>220</v>
      </c>
      <c r="C452" s="3" t="n">
        <v>46173</v>
      </c>
      <c r="D452" s="2" t="str">
        <f aca="false">TEXT(C452,"YYYY-MM")</f>
        <v>2026-05</v>
      </c>
      <c r="E452" s="4" t="s">
        <v>14</v>
      </c>
      <c r="F452" s="4" t="s">
        <v>15</v>
      </c>
      <c r="G452" s="5" t="n">
        <v>1543</v>
      </c>
      <c r="H452" s="2"/>
    </row>
    <row r="453" customFormat="false" ht="15" hidden="false" customHeight="false" outlineLevel="0" collapsed="false">
      <c r="A453" s="2" t="s">
        <v>8</v>
      </c>
      <c r="B453" s="2" t="s">
        <v>220</v>
      </c>
      <c r="C453" s="3" t="n">
        <v>46173</v>
      </c>
      <c r="D453" s="2" t="str">
        <f aca="false">TEXT(C453,"YYYY-MM")</f>
        <v>2026-05</v>
      </c>
      <c r="E453" s="4" t="s">
        <v>14</v>
      </c>
      <c r="F453" s="4" t="s">
        <v>15</v>
      </c>
      <c r="G453" s="5" t="n">
        <v>1763</v>
      </c>
      <c r="H453" s="2"/>
    </row>
    <row r="454" customFormat="false" ht="15" hidden="false" customHeight="false" outlineLevel="0" collapsed="false">
      <c r="A454" s="2" t="s">
        <v>8</v>
      </c>
      <c r="B454" s="2" t="s">
        <v>220</v>
      </c>
      <c r="C454" s="3" t="n">
        <v>46173</v>
      </c>
      <c r="D454" s="2" t="str">
        <f aca="false">TEXT(C454,"YYYY-MM")</f>
        <v>2026-05</v>
      </c>
      <c r="E454" s="4" t="s">
        <v>14</v>
      </c>
      <c r="F454" s="4" t="s">
        <v>15</v>
      </c>
      <c r="G454" s="5" t="n">
        <v>1543</v>
      </c>
      <c r="H454" s="2"/>
    </row>
    <row r="455" customFormat="false" ht="15" hidden="false" customHeight="false" outlineLevel="0" collapsed="false">
      <c r="A455" s="2" t="s">
        <v>8</v>
      </c>
      <c r="B455" s="2" t="s">
        <v>220</v>
      </c>
      <c r="C455" s="3" t="n">
        <v>46173</v>
      </c>
      <c r="D455" s="2" t="str">
        <f aca="false">TEXT(C455,"YYYY-MM")</f>
        <v>2026-05</v>
      </c>
      <c r="E455" s="4" t="s">
        <v>14</v>
      </c>
      <c r="F455" s="4" t="s">
        <v>15</v>
      </c>
      <c r="G455" s="5" t="n">
        <v>2665</v>
      </c>
      <c r="H455" s="2"/>
    </row>
    <row r="456" customFormat="false" ht="15" hidden="false" customHeight="false" outlineLevel="0" collapsed="false">
      <c r="A456" s="2" t="s">
        <v>8</v>
      </c>
      <c r="B456" s="2" t="s">
        <v>220</v>
      </c>
      <c r="C456" s="3" t="n">
        <v>46175</v>
      </c>
      <c r="D456" s="2" t="str">
        <f aca="false">TEXT(C456,"YYYY-MM")</f>
        <v>2026-06</v>
      </c>
      <c r="E456" s="4" t="s">
        <v>222</v>
      </c>
      <c r="F456" s="4" t="s">
        <v>22</v>
      </c>
      <c r="G456" s="5" t="n">
        <v>30580</v>
      </c>
      <c r="H456" s="4" t="s">
        <v>184</v>
      </c>
    </row>
    <row r="457" customFormat="false" ht="15" hidden="false" customHeight="false" outlineLevel="0" collapsed="false">
      <c r="A457" s="2" t="s">
        <v>8</v>
      </c>
      <c r="B457" s="2" t="s">
        <v>220</v>
      </c>
      <c r="C457" s="3" t="n">
        <v>46175</v>
      </c>
      <c r="D457" s="2" t="str">
        <f aca="false">TEXT(C457,"YYYY-MM")</f>
        <v>2026-06</v>
      </c>
      <c r="E457" s="2" t="s">
        <v>164</v>
      </c>
      <c r="F457" s="4" t="s">
        <v>22</v>
      </c>
      <c r="G457" s="5" t="n">
        <v>1000</v>
      </c>
      <c r="H457" s="4" t="s">
        <v>42</v>
      </c>
    </row>
    <row r="458" customFormat="false" ht="15" hidden="false" customHeight="false" outlineLevel="0" collapsed="false">
      <c r="A458" s="2" t="s">
        <v>8</v>
      </c>
      <c r="B458" s="2" t="s">
        <v>220</v>
      </c>
      <c r="C458" s="3" t="n">
        <v>46176</v>
      </c>
      <c r="D458" s="2" t="str">
        <f aca="false">TEXT(C458,"YYYY-MM")</f>
        <v>2026-06</v>
      </c>
      <c r="E458" s="4" t="s">
        <v>223</v>
      </c>
      <c r="F458" s="4" t="s">
        <v>28</v>
      </c>
      <c r="G458" s="5" t="n">
        <v>800</v>
      </c>
      <c r="H458" s="2"/>
    </row>
    <row r="459" customFormat="false" ht="15" hidden="false" customHeight="false" outlineLevel="0" collapsed="false">
      <c r="A459" s="2" t="s">
        <v>8</v>
      </c>
      <c r="B459" s="2" t="s">
        <v>220</v>
      </c>
      <c r="C459" s="3" t="n">
        <v>46177</v>
      </c>
      <c r="D459" s="2" t="str">
        <f aca="false">TEXT(C459,"YYYY-MM")</f>
        <v>2026-06</v>
      </c>
      <c r="E459" s="2" t="s">
        <v>34</v>
      </c>
      <c r="F459" s="4" t="s">
        <v>35</v>
      </c>
      <c r="G459" s="5" t="n">
        <v>1500</v>
      </c>
      <c r="H459" s="2"/>
    </row>
    <row r="460" customFormat="false" ht="15" hidden="false" customHeight="false" outlineLevel="0" collapsed="false">
      <c r="A460" s="2" t="s">
        <v>8</v>
      </c>
      <c r="B460" s="2" t="s">
        <v>220</v>
      </c>
      <c r="C460" s="3" t="n">
        <v>46177</v>
      </c>
      <c r="D460" s="2" t="str">
        <f aca="false">TEXT(C460,"YYYY-MM")</f>
        <v>2026-06</v>
      </c>
      <c r="E460" s="4" t="s">
        <v>129</v>
      </c>
      <c r="F460" s="4" t="s">
        <v>105</v>
      </c>
      <c r="G460" s="5" t="n">
        <v>345</v>
      </c>
      <c r="H460" s="2"/>
    </row>
    <row r="461" customFormat="false" ht="15" hidden="false" customHeight="false" outlineLevel="0" collapsed="false">
      <c r="A461" s="2" t="s">
        <v>8</v>
      </c>
      <c r="B461" s="2" t="s">
        <v>220</v>
      </c>
      <c r="C461" s="3" t="n">
        <v>46177</v>
      </c>
      <c r="D461" s="2" t="str">
        <f aca="false">TEXT(C461,"YYYY-MM")</f>
        <v>2026-06</v>
      </c>
      <c r="E461" s="2" t="s">
        <v>164</v>
      </c>
      <c r="F461" s="4" t="s">
        <v>22</v>
      </c>
      <c r="G461" s="5" t="n">
        <v>1000</v>
      </c>
      <c r="H461" s="4" t="s">
        <v>42</v>
      </c>
    </row>
    <row r="462" customFormat="false" ht="15" hidden="false" customHeight="false" outlineLevel="0" collapsed="false">
      <c r="A462" s="2" t="s">
        <v>8</v>
      </c>
      <c r="B462" s="2" t="s">
        <v>220</v>
      </c>
      <c r="C462" s="3" t="n">
        <v>46177</v>
      </c>
      <c r="D462" s="2" t="str">
        <f aca="false">TEXT(C462,"YYYY-MM")</f>
        <v>2026-06</v>
      </c>
      <c r="E462" s="4" t="s">
        <v>145</v>
      </c>
      <c r="F462" s="4" t="s">
        <v>11</v>
      </c>
      <c r="G462" s="5" t="n">
        <v>13063</v>
      </c>
      <c r="H462" s="2"/>
    </row>
    <row r="463" customFormat="false" ht="15" hidden="false" customHeight="false" outlineLevel="0" collapsed="false">
      <c r="A463" s="2" t="s">
        <v>8</v>
      </c>
      <c r="B463" s="2" t="s">
        <v>220</v>
      </c>
      <c r="C463" s="3" t="n">
        <v>46178</v>
      </c>
      <c r="D463" s="2" t="str">
        <f aca="false">TEXT(C463,"YYYY-MM")</f>
        <v>2026-06</v>
      </c>
      <c r="E463" s="4" t="s">
        <v>207</v>
      </c>
      <c r="F463" s="4" t="s">
        <v>58</v>
      </c>
      <c r="G463" s="5" t="n">
        <v>1458</v>
      </c>
      <c r="H463" s="2"/>
    </row>
    <row r="464" customFormat="false" ht="15" hidden="false" customHeight="false" outlineLevel="0" collapsed="false">
      <c r="A464" s="2" t="s">
        <v>8</v>
      </c>
      <c r="B464" s="2" t="s">
        <v>220</v>
      </c>
      <c r="C464" s="3" t="n">
        <v>46178</v>
      </c>
      <c r="D464" s="2" t="str">
        <f aca="false">TEXT(C464,"YYYY-MM")</f>
        <v>2026-06</v>
      </c>
      <c r="E464" s="2" t="s">
        <v>164</v>
      </c>
      <c r="F464" s="4" t="s">
        <v>22</v>
      </c>
      <c r="G464" s="5" t="n">
        <v>1750</v>
      </c>
      <c r="H464" s="4" t="s">
        <v>42</v>
      </c>
    </row>
    <row r="465" customFormat="false" ht="15" hidden="false" customHeight="false" outlineLevel="0" collapsed="false">
      <c r="A465" s="2" t="s">
        <v>8</v>
      </c>
      <c r="B465" s="2" t="s">
        <v>220</v>
      </c>
      <c r="C465" s="3" t="n">
        <v>46178</v>
      </c>
      <c r="D465" s="2" t="str">
        <f aca="false">TEXT(C465,"YYYY-MM")</f>
        <v>2026-06</v>
      </c>
      <c r="E465" s="2" t="s">
        <v>44</v>
      </c>
      <c r="F465" s="4" t="s">
        <v>35</v>
      </c>
      <c r="G465" s="5" t="n">
        <v>2900</v>
      </c>
      <c r="H465" s="2"/>
    </row>
    <row r="466" customFormat="false" ht="15" hidden="false" customHeight="false" outlineLevel="0" collapsed="false">
      <c r="A466" s="2" t="s">
        <v>8</v>
      </c>
      <c r="B466" s="2" t="s">
        <v>220</v>
      </c>
      <c r="C466" s="3" t="n">
        <v>46179</v>
      </c>
      <c r="D466" s="2" t="str">
        <f aca="false">TEXT(C466,"YYYY-MM")</f>
        <v>2026-06</v>
      </c>
      <c r="E466" s="4" t="s">
        <v>224</v>
      </c>
      <c r="F466" s="4" t="s">
        <v>87</v>
      </c>
      <c r="G466" s="5" t="n">
        <v>3300</v>
      </c>
      <c r="H466" s="4" t="s">
        <v>225</v>
      </c>
    </row>
    <row r="467" customFormat="false" ht="15" hidden="false" customHeight="false" outlineLevel="0" collapsed="false">
      <c r="A467" s="2" t="s">
        <v>8</v>
      </c>
      <c r="B467" s="2" t="s">
        <v>220</v>
      </c>
      <c r="C467" s="3" t="n">
        <v>46179</v>
      </c>
      <c r="D467" s="2" t="str">
        <f aca="false">TEXT(C467,"YYYY-MM")</f>
        <v>2026-06</v>
      </c>
      <c r="E467" s="2" t="s">
        <v>164</v>
      </c>
      <c r="F467" s="4" t="s">
        <v>22</v>
      </c>
      <c r="G467" s="5" t="n">
        <v>980</v>
      </c>
      <c r="H467" s="4" t="s">
        <v>42</v>
      </c>
    </row>
    <row r="468" customFormat="false" ht="15" hidden="false" customHeight="false" outlineLevel="0" collapsed="false">
      <c r="A468" s="2" t="s">
        <v>8</v>
      </c>
      <c r="B468" s="2" t="s">
        <v>220</v>
      </c>
      <c r="C468" s="3" t="n">
        <v>46179</v>
      </c>
      <c r="D468" s="2" t="str">
        <f aca="false">TEXT(C468,"YYYY-MM")</f>
        <v>2026-06</v>
      </c>
      <c r="E468" s="2" t="s">
        <v>164</v>
      </c>
      <c r="F468" s="4" t="s">
        <v>22</v>
      </c>
      <c r="G468" s="5" t="n">
        <v>1000</v>
      </c>
      <c r="H468" s="4" t="s">
        <v>42</v>
      </c>
    </row>
    <row r="469" customFormat="false" ht="15" hidden="false" customHeight="false" outlineLevel="0" collapsed="false">
      <c r="A469" s="2" t="s">
        <v>8</v>
      </c>
      <c r="B469" s="2" t="s">
        <v>220</v>
      </c>
      <c r="C469" s="3" t="n">
        <v>46179</v>
      </c>
      <c r="D469" s="2" t="str">
        <f aca="false">TEXT(C469,"YYYY-MM")</f>
        <v>2026-06</v>
      </c>
      <c r="E469" s="4" t="s">
        <v>226</v>
      </c>
      <c r="F469" s="4" t="s">
        <v>22</v>
      </c>
      <c r="G469" s="5" t="n">
        <v>1800</v>
      </c>
      <c r="H469" s="2"/>
    </row>
    <row r="470" customFormat="false" ht="15" hidden="false" customHeight="false" outlineLevel="0" collapsed="false">
      <c r="A470" s="2" t="s">
        <v>8</v>
      </c>
      <c r="B470" s="2" t="s">
        <v>220</v>
      </c>
      <c r="C470" s="3" t="n">
        <v>46180</v>
      </c>
      <c r="D470" s="2" t="str">
        <f aca="false">TEXT(C470,"YYYY-MM")</f>
        <v>2026-06</v>
      </c>
      <c r="E470" s="2" t="s">
        <v>164</v>
      </c>
      <c r="F470" s="4" t="s">
        <v>22</v>
      </c>
      <c r="G470" s="5" t="n">
        <v>1380</v>
      </c>
      <c r="H470" s="4" t="s">
        <v>42</v>
      </c>
    </row>
    <row r="471" customFormat="false" ht="15" hidden="false" customHeight="false" outlineLevel="0" collapsed="false">
      <c r="A471" s="2" t="s">
        <v>8</v>
      </c>
      <c r="B471" s="2" t="s">
        <v>220</v>
      </c>
      <c r="C471" s="3" t="n">
        <v>46180</v>
      </c>
      <c r="D471" s="2" t="str">
        <f aca="false">TEXT(C471,"YYYY-MM")</f>
        <v>2026-06</v>
      </c>
      <c r="E471" s="4" t="s">
        <v>227</v>
      </c>
      <c r="F471" s="4" t="s">
        <v>17</v>
      </c>
      <c r="G471" s="5" t="n">
        <v>500</v>
      </c>
      <c r="H471" s="4" t="s">
        <v>18</v>
      </c>
    </row>
    <row r="472" customFormat="false" ht="15" hidden="false" customHeight="false" outlineLevel="0" collapsed="false">
      <c r="A472" s="2" t="s">
        <v>8</v>
      </c>
      <c r="B472" s="2" t="s">
        <v>220</v>
      </c>
      <c r="C472" s="3" t="n">
        <v>46180</v>
      </c>
      <c r="D472" s="2" t="str">
        <f aca="false">TEXT(C472,"YYYY-MM")</f>
        <v>2026-06</v>
      </c>
      <c r="E472" s="4" t="s">
        <v>228</v>
      </c>
      <c r="F472" s="4" t="s">
        <v>137</v>
      </c>
      <c r="G472" s="5" t="n">
        <v>7920</v>
      </c>
      <c r="H472" s="4" t="s">
        <v>229</v>
      </c>
    </row>
    <row r="473" customFormat="false" ht="15" hidden="false" customHeight="false" outlineLevel="0" collapsed="false">
      <c r="A473" s="2" t="s">
        <v>8</v>
      </c>
      <c r="B473" s="2" t="s">
        <v>220</v>
      </c>
      <c r="C473" s="3" t="n">
        <v>46180</v>
      </c>
      <c r="D473" s="2" t="str">
        <f aca="false">TEXT(C473,"YYYY-MM")</f>
        <v>2026-06</v>
      </c>
      <c r="E473" s="2" t="s">
        <v>24</v>
      </c>
      <c r="F473" s="4" t="s">
        <v>17</v>
      </c>
      <c r="G473" s="5" t="n">
        <v>860</v>
      </c>
      <c r="H473" s="2"/>
    </row>
    <row r="474" customFormat="false" ht="15" hidden="false" customHeight="false" outlineLevel="0" collapsed="false">
      <c r="A474" s="2" t="s">
        <v>8</v>
      </c>
      <c r="B474" s="2" t="s">
        <v>220</v>
      </c>
      <c r="C474" s="3" t="n">
        <v>46180</v>
      </c>
      <c r="D474" s="2" t="str">
        <f aca="false">TEXT(C474,"YYYY-MM")</f>
        <v>2026-06</v>
      </c>
      <c r="E474" s="2" t="s">
        <v>24</v>
      </c>
      <c r="F474" s="4" t="s">
        <v>17</v>
      </c>
      <c r="G474" s="5" t="n">
        <v>820</v>
      </c>
      <c r="H474" s="2"/>
    </row>
    <row r="475" customFormat="false" ht="15" hidden="false" customHeight="false" outlineLevel="0" collapsed="false">
      <c r="A475" s="2" t="s">
        <v>8</v>
      </c>
      <c r="B475" s="2" t="s">
        <v>220</v>
      </c>
      <c r="C475" s="3" t="n">
        <v>46181</v>
      </c>
      <c r="D475" s="2" t="str">
        <f aca="false">TEXT(C475,"YYYY-MM")</f>
        <v>2026-06</v>
      </c>
      <c r="E475" s="4" t="s">
        <v>91</v>
      </c>
      <c r="F475" s="4" t="s">
        <v>37</v>
      </c>
      <c r="G475" s="5" t="n">
        <v>18609</v>
      </c>
      <c r="H475" s="2"/>
    </row>
    <row r="476" customFormat="false" ht="15" hidden="false" customHeight="false" outlineLevel="0" collapsed="false">
      <c r="A476" s="2" t="s">
        <v>8</v>
      </c>
      <c r="B476" s="2" t="s">
        <v>220</v>
      </c>
      <c r="C476" s="3" t="n">
        <v>46181</v>
      </c>
      <c r="D476" s="2" t="str">
        <f aca="false">TEXT(C476,"YYYY-MM")</f>
        <v>2026-06</v>
      </c>
      <c r="E476" s="4" t="s">
        <v>91</v>
      </c>
      <c r="F476" s="4" t="s">
        <v>37</v>
      </c>
      <c r="G476" s="5" t="n">
        <v>4690</v>
      </c>
      <c r="H476" s="2"/>
    </row>
    <row r="477" customFormat="false" ht="15" hidden="false" customHeight="false" outlineLevel="0" collapsed="false">
      <c r="A477" s="2" t="s">
        <v>8</v>
      </c>
      <c r="B477" s="2" t="s">
        <v>220</v>
      </c>
      <c r="C477" s="3" t="n">
        <v>46181</v>
      </c>
      <c r="D477" s="2" t="str">
        <f aca="false">TEXT(C477,"YYYY-MM")</f>
        <v>2026-06</v>
      </c>
      <c r="E477" s="4" t="s">
        <v>230</v>
      </c>
      <c r="F477" s="4" t="s">
        <v>137</v>
      </c>
      <c r="G477" s="5" t="n">
        <v>2631</v>
      </c>
      <c r="H477" s="4" t="s">
        <v>231</v>
      </c>
    </row>
    <row r="478" customFormat="false" ht="15" hidden="false" customHeight="false" outlineLevel="0" collapsed="false">
      <c r="A478" s="2" t="s">
        <v>8</v>
      </c>
      <c r="B478" s="2" t="s">
        <v>220</v>
      </c>
      <c r="C478" s="3" t="n">
        <v>46181</v>
      </c>
      <c r="D478" s="2" t="str">
        <f aca="false">TEXT(C478,"YYYY-MM")</f>
        <v>2026-06</v>
      </c>
      <c r="E478" s="2" t="s">
        <v>232</v>
      </c>
      <c r="F478" s="4" t="s">
        <v>13</v>
      </c>
      <c r="G478" s="5" t="n">
        <v>41806</v>
      </c>
      <c r="H478" s="4" t="s">
        <v>233</v>
      </c>
    </row>
    <row r="479" customFormat="false" ht="15" hidden="false" customHeight="false" outlineLevel="0" collapsed="false">
      <c r="A479" s="2" t="s">
        <v>8</v>
      </c>
      <c r="B479" s="2" t="s">
        <v>220</v>
      </c>
      <c r="C479" s="3" t="n">
        <v>46181</v>
      </c>
      <c r="D479" s="2" t="str">
        <f aca="false">TEXT(C479,"YYYY-MM")</f>
        <v>2026-06</v>
      </c>
      <c r="E479" s="2" t="s">
        <v>234</v>
      </c>
      <c r="F479" s="4" t="s">
        <v>13</v>
      </c>
      <c r="G479" s="5" t="n">
        <v>250230</v>
      </c>
      <c r="H479" s="4" t="s">
        <v>235</v>
      </c>
    </row>
    <row r="480" customFormat="false" ht="15" hidden="false" customHeight="false" outlineLevel="0" collapsed="false">
      <c r="A480" s="2" t="s">
        <v>8</v>
      </c>
      <c r="B480" s="2" t="s">
        <v>220</v>
      </c>
      <c r="C480" s="3" t="n">
        <v>46181</v>
      </c>
      <c r="D480" s="2" t="str">
        <f aca="false">TEXT(C480,"YYYY-MM")</f>
        <v>2026-06</v>
      </c>
      <c r="E480" s="2" t="s">
        <v>234</v>
      </c>
      <c r="F480" s="4" t="s">
        <v>13</v>
      </c>
      <c r="G480" s="5" t="n">
        <v>237020</v>
      </c>
      <c r="H480" s="4" t="s">
        <v>235</v>
      </c>
    </row>
    <row r="481" customFormat="false" ht="15" hidden="false" customHeight="false" outlineLevel="0" collapsed="false">
      <c r="A481" s="2" t="s">
        <v>8</v>
      </c>
      <c r="B481" s="2" t="s">
        <v>220</v>
      </c>
      <c r="C481" s="3" t="n">
        <v>46181</v>
      </c>
      <c r="D481" s="2" t="str">
        <f aca="false">TEXT(C481,"YYYY-MM")</f>
        <v>2026-06</v>
      </c>
      <c r="E481" s="2" t="s">
        <v>164</v>
      </c>
      <c r="F481" s="4" t="s">
        <v>22</v>
      </c>
      <c r="G481" s="5" t="n">
        <v>1000</v>
      </c>
      <c r="H481" s="4" t="s">
        <v>42</v>
      </c>
    </row>
    <row r="482" customFormat="false" ht="15" hidden="false" customHeight="false" outlineLevel="0" collapsed="false">
      <c r="A482" s="2" t="s">
        <v>8</v>
      </c>
      <c r="B482" s="2" t="s">
        <v>220</v>
      </c>
      <c r="C482" s="3" t="n">
        <v>46182</v>
      </c>
      <c r="D482" s="2" t="str">
        <f aca="false">TEXT(C482,"YYYY-MM")</f>
        <v>2026-06</v>
      </c>
      <c r="E482" s="4" t="s">
        <v>91</v>
      </c>
      <c r="F482" s="4" t="s">
        <v>37</v>
      </c>
      <c r="G482" s="5" t="n">
        <v>1596</v>
      </c>
      <c r="H482" s="2"/>
    </row>
    <row r="483" customFormat="false" ht="15" hidden="false" customHeight="false" outlineLevel="0" collapsed="false">
      <c r="A483" s="2" t="s">
        <v>8</v>
      </c>
      <c r="B483" s="2" t="s">
        <v>220</v>
      </c>
      <c r="C483" s="3" t="n">
        <v>46182</v>
      </c>
      <c r="D483" s="2" t="str">
        <f aca="false">TEXT(C483,"YYYY-MM")</f>
        <v>2026-06</v>
      </c>
      <c r="E483" s="2" t="s">
        <v>52</v>
      </c>
      <c r="F483" s="4" t="s">
        <v>35</v>
      </c>
      <c r="G483" s="5" t="n">
        <v>1280</v>
      </c>
      <c r="H483" s="2"/>
    </row>
    <row r="484" customFormat="false" ht="15" hidden="false" customHeight="false" outlineLevel="0" collapsed="false">
      <c r="A484" s="2" t="s">
        <v>8</v>
      </c>
      <c r="B484" s="2" t="s">
        <v>220</v>
      </c>
      <c r="C484" s="3" t="n">
        <v>46182</v>
      </c>
      <c r="D484" s="2" t="str">
        <f aca="false">TEXT(C484,"YYYY-MM")</f>
        <v>2026-06</v>
      </c>
      <c r="E484" s="4" t="s">
        <v>91</v>
      </c>
      <c r="F484" s="4" t="s">
        <v>37</v>
      </c>
      <c r="G484" s="5" t="n">
        <v>1280</v>
      </c>
      <c r="H484" s="2"/>
    </row>
    <row r="485" customFormat="false" ht="15" hidden="false" customHeight="false" outlineLevel="0" collapsed="false">
      <c r="A485" s="2" t="s">
        <v>8</v>
      </c>
      <c r="B485" s="2" t="s">
        <v>220</v>
      </c>
      <c r="C485" s="3" t="n">
        <v>46183</v>
      </c>
      <c r="D485" s="2" t="str">
        <f aca="false">TEXT(C485,"YYYY-MM")</f>
        <v>2026-06</v>
      </c>
      <c r="E485" s="2" t="s">
        <v>34</v>
      </c>
      <c r="F485" s="4" t="s">
        <v>35</v>
      </c>
      <c r="G485" s="5" t="n">
        <v>1000</v>
      </c>
      <c r="H485" s="2"/>
    </row>
    <row r="486" customFormat="false" ht="15" hidden="false" customHeight="false" outlineLevel="0" collapsed="false">
      <c r="A486" s="2" t="s">
        <v>8</v>
      </c>
      <c r="B486" s="2" t="s">
        <v>220</v>
      </c>
      <c r="C486" s="3" t="n">
        <v>46183</v>
      </c>
      <c r="D486" s="2" t="str">
        <f aca="false">TEXT(C486,"YYYY-MM")</f>
        <v>2026-06</v>
      </c>
      <c r="E486" s="4" t="s">
        <v>91</v>
      </c>
      <c r="F486" s="4" t="s">
        <v>37</v>
      </c>
      <c r="G486" s="5" t="n">
        <v>2600</v>
      </c>
      <c r="H486" s="2"/>
    </row>
    <row r="487" customFormat="false" ht="15" hidden="false" customHeight="false" outlineLevel="0" collapsed="false">
      <c r="A487" s="2" t="s">
        <v>8</v>
      </c>
      <c r="B487" s="2" t="s">
        <v>220</v>
      </c>
      <c r="C487" s="3" t="n">
        <v>46183</v>
      </c>
      <c r="D487" s="2" t="str">
        <f aca="false">TEXT(C487,"YYYY-MM")</f>
        <v>2026-06</v>
      </c>
      <c r="E487" s="4" t="s">
        <v>91</v>
      </c>
      <c r="F487" s="4" t="s">
        <v>37</v>
      </c>
      <c r="G487" s="5" t="n">
        <v>5940</v>
      </c>
      <c r="H487" s="2"/>
    </row>
    <row r="488" customFormat="false" ht="15" hidden="false" customHeight="false" outlineLevel="0" collapsed="false">
      <c r="A488" s="2" t="s">
        <v>8</v>
      </c>
      <c r="B488" s="2" t="s">
        <v>220</v>
      </c>
      <c r="C488" s="3" t="n">
        <v>46183</v>
      </c>
      <c r="D488" s="2" t="str">
        <f aca="false">TEXT(C488,"YYYY-MM")</f>
        <v>2026-06</v>
      </c>
      <c r="E488" s="4" t="s">
        <v>36</v>
      </c>
      <c r="F488" s="4" t="s">
        <v>37</v>
      </c>
      <c r="G488" s="5" t="n">
        <v>5980</v>
      </c>
      <c r="H488" s="2"/>
    </row>
    <row r="489" customFormat="false" ht="15" hidden="false" customHeight="false" outlineLevel="0" collapsed="false">
      <c r="A489" s="2" t="s">
        <v>8</v>
      </c>
      <c r="B489" s="2" t="s">
        <v>220</v>
      </c>
      <c r="C489" s="3" t="n">
        <v>46183</v>
      </c>
      <c r="D489" s="2" t="str">
        <f aca="false">TEXT(C489,"YYYY-MM")</f>
        <v>2026-06</v>
      </c>
      <c r="E489" s="2" t="s">
        <v>209</v>
      </c>
      <c r="F489" s="4" t="s">
        <v>13</v>
      </c>
      <c r="G489" s="5" t="n">
        <v>7941</v>
      </c>
      <c r="H489" s="4" t="s">
        <v>76</v>
      </c>
    </row>
    <row r="490" customFormat="false" ht="15" hidden="false" customHeight="false" outlineLevel="0" collapsed="false">
      <c r="A490" s="2" t="s">
        <v>8</v>
      </c>
      <c r="B490" s="2" t="s">
        <v>220</v>
      </c>
      <c r="C490" s="3" t="n">
        <v>46184</v>
      </c>
      <c r="D490" s="2" t="str">
        <f aca="false">TEXT(C490,"YYYY-MM")</f>
        <v>2026-06</v>
      </c>
      <c r="E490" s="4" t="s">
        <v>91</v>
      </c>
      <c r="F490" s="4" t="s">
        <v>37</v>
      </c>
      <c r="G490" s="5" t="n">
        <v>3376</v>
      </c>
      <c r="H490" s="2"/>
    </row>
    <row r="491" customFormat="false" ht="15" hidden="false" customHeight="false" outlineLevel="0" collapsed="false">
      <c r="A491" s="2" t="s">
        <v>8</v>
      </c>
      <c r="B491" s="2" t="s">
        <v>220</v>
      </c>
      <c r="C491" s="3" t="n">
        <v>46184</v>
      </c>
      <c r="D491" s="2" t="str">
        <f aca="false">TEXT(C491,"YYYY-MM")</f>
        <v>2026-06</v>
      </c>
      <c r="E491" s="4" t="s">
        <v>91</v>
      </c>
      <c r="F491" s="4" t="s">
        <v>37</v>
      </c>
      <c r="G491" s="5" t="n">
        <v>34870</v>
      </c>
      <c r="H491" s="2"/>
    </row>
    <row r="492" customFormat="false" ht="15" hidden="false" customHeight="false" outlineLevel="0" collapsed="false">
      <c r="A492" s="2" t="s">
        <v>8</v>
      </c>
      <c r="B492" s="2" t="s">
        <v>220</v>
      </c>
      <c r="C492" s="3" t="n">
        <v>46184</v>
      </c>
      <c r="D492" s="2" t="str">
        <f aca="false">TEXT(C492,"YYYY-MM")</f>
        <v>2026-06</v>
      </c>
      <c r="E492" s="2" t="s">
        <v>209</v>
      </c>
      <c r="F492" s="4" t="s">
        <v>13</v>
      </c>
      <c r="G492" s="5" t="n">
        <v>5580</v>
      </c>
      <c r="H492" s="4" t="s">
        <v>76</v>
      </c>
    </row>
    <row r="493" customFormat="false" ht="15" hidden="false" customHeight="false" outlineLevel="0" collapsed="false">
      <c r="A493" s="2" t="s">
        <v>8</v>
      </c>
      <c r="B493" s="2" t="s">
        <v>220</v>
      </c>
      <c r="C493" s="3" t="n">
        <v>46184</v>
      </c>
      <c r="D493" s="2" t="str">
        <f aca="false">TEXT(C493,"YYYY-MM")</f>
        <v>2026-06</v>
      </c>
      <c r="E493" s="2" t="s">
        <v>236</v>
      </c>
      <c r="F493" s="4" t="s">
        <v>13</v>
      </c>
      <c r="G493" s="5" t="n">
        <v>200</v>
      </c>
      <c r="H493" s="4" t="s">
        <v>237</v>
      </c>
    </row>
    <row r="494" customFormat="false" ht="15" hidden="false" customHeight="false" outlineLevel="0" collapsed="false">
      <c r="A494" s="2" t="s">
        <v>8</v>
      </c>
      <c r="B494" s="2" t="s">
        <v>220</v>
      </c>
      <c r="C494" s="3" t="n">
        <v>46185</v>
      </c>
      <c r="D494" s="2" t="str">
        <f aca="false">TEXT(C494,"YYYY-MM")</f>
        <v>2026-06</v>
      </c>
      <c r="E494" s="2" t="s">
        <v>12</v>
      </c>
      <c r="F494" s="4" t="s">
        <v>13</v>
      </c>
      <c r="G494" s="5" t="n">
        <v>1300</v>
      </c>
      <c r="H494" s="2"/>
    </row>
    <row r="495" customFormat="false" ht="15" hidden="false" customHeight="false" outlineLevel="0" collapsed="false">
      <c r="A495" s="2" t="s">
        <v>8</v>
      </c>
      <c r="B495" s="2" t="s">
        <v>220</v>
      </c>
      <c r="C495" s="3" t="n">
        <v>46185</v>
      </c>
      <c r="D495" s="2" t="str">
        <f aca="false">TEXT(C495,"YYYY-MM")</f>
        <v>2026-06</v>
      </c>
      <c r="E495" s="2" t="s">
        <v>12</v>
      </c>
      <c r="F495" s="4" t="s">
        <v>13</v>
      </c>
      <c r="G495" s="5" t="n">
        <v>1800</v>
      </c>
      <c r="H495" s="2"/>
    </row>
    <row r="496" customFormat="false" ht="15" hidden="false" customHeight="false" outlineLevel="0" collapsed="false">
      <c r="A496" s="2" t="s">
        <v>8</v>
      </c>
      <c r="B496" s="2" t="s">
        <v>220</v>
      </c>
      <c r="C496" s="3" t="n">
        <v>46185</v>
      </c>
      <c r="D496" s="2" t="str">
        <f aca="false">TEXT(C496,"YYYY-MM")</f>
        <v>2026-06</v>
      </c>
      <c r="E496" s="2" t="s">
        <v>12</v>
      </c>
      <c r="F496" s="4" t="s">
        <v>13</v>
      </c>
      <c r="G496" s="5" t="n">
        <v>2000</v>
      </c>
      <c r="H496" s="2"/>
    </row>
    <row r="497" customFormat="false" ht="15" hidden="false" customHeight="false" outlineLevel="0" collapsed="false">
      <c r="A497" s="2" t="s">
        <v>8</v>
      </c>
      <c r="B497" s="2" t="s">
        <v>220</v>
      </c>
      <c r="C497" s="3" t="n">
        <v>46185</v>
      </c>
      <c r="D497" s="2" t="str">
        <f aca="false">TEXT(C497,"YYYY-MM")</f>
        <v>2026-06</v>
      </c>
      <c r="E497" s="2" t="s">
        <v>12</v>
      </c>
      <c r="F497" s="4" t="s">
        <v>13</v>
      </c>
      <c r="G497" s="5" t="n">
        <v>2000</v>
      </c>
      <c r="H497" s="2"/>
    </row>
    <row r="498" customFormat="false" ht="15" hidden="false" customHeight="false" outlineLevel="0" collapsed="false">
      <c r="A498" s="2" t="s">
        <v>8</v>
      </c>
      <c r="B498" s="2" t="s">
        <v>220</v>
      </c>
      <c r="C498" s="3" t="n">
        <v>46186</v>
      </c>
      <c r="D498" s="2" t="str">
        <f aca="false">TEXT(C498,"YYYY-MM")</f>
        <v>2026-06</v>
      </c>
      <c r="E498" s="2" t="s">
        <v>165</v>
      </c>
      <c r="F498" s="4" t="s">
        <v>17</v>
      </c>
      <c r="G498" s="5" t="n">
        <v>277200</v>
      </c>
      <c r="H498" s="4" t="s">
        <v>166</v>
      </c>
    </row>
    <row r="499" customFormat="false" ht="15" hidden="false" customHeight="false" outlineLevel="0" collapsed="false">
      <c r="A499" s="2" t="s">
        <v>8</v>
      </c>
      <c r="B499" s="2" t="s">
        <v>220</v>
      </c>
      <c r="C499" s="3" t="n">
        <v>46186</v>
      </c>
      <c r="D499" s="2" t="str">
        <f aca="false">TEXT(C499,"YYYY-MM")</f>
        <v>2026-06</v>
      </c>
      <c r="E499" s="2" t="s">
        <v>57</v>
      </c>
      <c r="F499" s="4" t="s">
        <v>58</v>
      </c>
      <c r="G499" s="5" t="n">
        <v>27500</v>
      </c>
      <c r="H499" s="4" t="s">
        <v>59</v>
      </c>
    </row>
    <row r="500" customFormat="false" ht="15" hidden="false" customHeight="false" outlineLevel="0" collapsed="false">
      <c r="A500" s="2" t="s">
        <v>8</v>
      </c>
      <c r="B500" s="2" t="s">
        <v>220</v>
      </c>
      <c r="C500" s="3" t="n">
        <v>46186</v>
      </c>
      <c r="D500" s="2" t="str">
        <f aca="false">TEXT(C500,"YYYY-MM")</f>
        <v>2026-06</v>
      </c>
      <c r="E500" s="2" t="s">
        <v>12</v>
      </c>
      <c r="F500" s="4" t="s">
        <v>13</v>
      </c>
      <c r="G500" s="5" t="n">
        <v>1400</v>
      </c>
      <c r="H500" s="2"/>
    </row>
    <row r="501" customFormat="false" ht="15" hidden="false" customHeight="false" outlineLevel="0" collapsed="false">
      <c r="A501" s="2" t="s">
        <v>8</v>
      </c>
      <c r="B501" s="2" t="s">
        <v>220</v>
      </c>
      <c r="C501" s="3" t="n">
        <v>46187</v>
      </c>
      <c r="D501" s="2" t="str">
        <f aca="false">TEXT(C501,"YYYY-MM")</f>
        <v>2026-06</v>
      </c>
      <c r="E501" s="4" t="s">
        <v>207</v>
      </c>
      <c r="F501" s="4" t="s">
        <v>58</v>
      </c>
      <c r="G501" s="5" t="n">
        <v>1804</v>
      </c>
      <c r="H501" s="2"/>
    </row>
    <row r="502" customFormat="false" ht="15" hidden="false" customHeight="false" outlineLevel="0" collapsed="false">
      <c r="A502" s="2" t="s">
        <v>8</v>
      </c>
      <c r="B502" s="2" t="s">
        <v>220</v>
      </c>
      <c r="C502" s="3" t="n">
        <v>46187</v>
      </c>
      <c r="D502" s="2" t="str">
        <f aca="false">TEXT(C502,"YYYY-MM")</f>
        <v>2026-06</v>
      </c>
      <c r="E502" s="2" t="s">
        <v>221</v>
      </c>
      <c r="F502" s="4" t="s">
        <v>17</v>
      </c>
      <c r="G502" s="5" t="n">
        <v>630</v>
      </c>
      <c r="H502" s="2"/>
    </row>
    <row r="503" customFormat="false" ht="15" hidden="false" customHeight="false" outlineLevel="0" collapsed="false">
      <c r="A503" s="2" t="s">
        <v>8</v>
      </c>
      <c r="B503" s="2" t="s">
        <v>220</v>
      </c>
      <c r="C503" s="3" t="n">
        <v>46187</v>
      </c>
      <c r="D503" s="2" t="str">
        <f aca="false">TEXT(C503,"YYYY-MM")</f>
        <v>2026-06</v>
      </c>
      <c r="E503" s="2" t="s">
        <v>221</v>
      </c>
      <c r="F503" s="4" t="s">
        <v>17</v>
      </c>
      <c r="G503" s="5" t="n">
        <v>630</v>
      </c>
      <c r="H503" s="2"/>
    </row>
    <row r="504" customFormat="false" ht="15" hidden="false" customHeight="false" outlineLevel="0" collapsed="false">
      <c r="A504" s="2" t="s">
        <v>8</v>
      </c>
      <c r="B504" s="2" t="s">
        <v>220</v>
      </c>
      <c r="C504" s="3" t="n">
        <v>46187</v>
      </c>
      <c r="D504" s="2" t="str">
        <f aca="false">TEXT(C504,"YYYY-MM")</f>
        <v>2026-06</v>
      </c>
      <c r="E504" s="2" t="s">
        <v>24</v>
      </c>
      <c r="F504" s="4" t="s">
        <v>17</v>
      </c>
      <c r="G504" s="5" t="n">
        <v>830</v>
      </c>
      <c r="H504" s="2"/>
    </row>
    <row r="505" customFormat="false" ht="15" hidden="false" customHeight="false" outlineLevel="0" collapsed="false">
      <c r="A505" s="2" t="s">
        <v>8</v>
      </c>
      <c r="B505" s="2" t="s">
        <v>220</v>
      </c>
      <c r="C505" s="3" t="n">
        <v>46187</v>
      </c>
      <c r="D505" s="2" t="str">
        <f aca="false">TEXT(C505,"YYYY-MM")</f>
        <v>2026-06</v>
      </c>
      <c r="E505" s="2" t="s">
        <v>24</v>
      </c>
      <c r="F505" s="4" t="s">
        <v>17</v>
      </c>
      <c r="G505" s="5" t="n">
        <v>300</v>
      </c>
      <c r="H505" s="2"/>
    </row>
    <row r="506" customFormat="false" ht="15" hidden="false" customHeight="false" outlineLevel="0" collapsed="false">
      <c r="A506" s="2" t="s">
        <v>8</v>
      </c>
      <c r="B506" s="2" t="s">
        <v>220</v>
      </c>
      <c r="C506" s="3" t="n">
        <v>46187</v>
      </c>
      <c r="D506" s="2" t="str">
        <f aca="false">TEXT(C506,"YYYY-MM")</f>
        <v>2026-06</v>
      </c>
      <c r="E506" s="2" t="s">
        <v>24</v>
      </c>
      <c r="F506" s="4" t="s">
        <v>17</v>
      </c>
      <c r="G506" s="5" t="n">
        <v>300</v>
      </c>
      <c r="H506" s="2"/>
    </row>
    <row r="507" customFormat="false" ht="15" hidden="false" customHeight="false" outlineLevel="0" collapsed="false">
      <c r="A507" s="2" t="s">
        <v>8</v>
      </c>
      <c r="B507" s="2" t="s">
        <v>220</v>
      </c>
      <c r="C507" s="3" t="n">
        <v>46188</v>
      </c>
      <c r="D507" s="2" t="str">
        <f aca="false">TEXT(C507,"YYYY-MM")</f>
        <v>2026-06</v>
      </c>
      <c r="E507" s="2" t="s">
        <v>24</v>
      </c>
      <c r="F507" s="4" t="s">
        <v>17</v>
      </c>
      <c r="G507" s="5" t="n">
        <v>420</v>
      </c>
      <c r="H507" s="2"/>
    </row>
    <row r="508" customFormat="false" ht="15" hidden="false" customHeight="false" outlineLevel="0" collapsed="false">
      <c r="A508" s="2" t="s">
        <v>8</v>
      </c>
      <c r="B508" s="2" t="s">
        <v>220</v>
      </c>
      <c r="C508" s="3" t="n">
        <v>46189</v>
      </c>
      <c r="D508" s="2" t="str">
        <f aca="false">TEXT(C508,"YYYY-MM")</f>
        <v>2026-06</v>
      </c>
      <c r="E508" s="4" t="s">
        <v>238</v>
      </c>
      <c r="F508" s="4" t="s">
        <v>13</v>
      </c>
      <c r="G508" s="5" t="n">
        <v>1900</v>
      </c>
      <c r="H508" s="4" t="s">
        <v>74</v>
      </c>
    </row>
    <row r="509" customFormat="false" ht="15" hidden="false" customHeight="false" outlineLevel="0" collapsed="false">
      <c r="A509" s="2" t="s">
        <v>8</v>
      </c>
      <c r="B509" s="2" t="s">
        <v>220</v>
      </c>
      <c r="C509" s="3" t="n">
        <v>46189</v>
      </c>
      <c r="D509" s="2" t="str">
        <f aca="false">TEXT(C509,"YYYY-MM")</f>
        <v>2026-06</v>
      </c>
      <c r="E509" s="2" t="s">
        <v>239</v>
      </c>
      <c r="F509" s="4" t="s">
        <v>35</v>
      </c>
      <c r="G509" s="5" t="n">
        <v>2500</v>
      </c>
      <c r="H509" s="2"/>
    </row>
    <row r="510" customFormat="false" ht="15" hidden="false" customHeight="false" outlineLevel="0" collapsed="false">
      <c r="A510" s="2" t="s">
        <v>8</v>
      </c>
      <c r="B510" s="2" t="s">
        <v>220</v>
      </c>
      <c r="C510" s="3" t="n">
        <v>46193</v>
      </c>
      <c r="D510" s="2" t="str">
        <f aca="false">TEXT(C510,"YYYY-MM")</f>
        <v>2026-06</v>
      </c>
      <c r="E510" s="2" t="s">
        <v>114</v>
      </c>
      <c r="F510" s="4" t="s">
        <v>28</v>
      </c>
      <c r="G510" s="5" t="n">
        <v>55000</v>
      </c>
      <c r="H510" s="4" t="s">
        <v>115</v>
      </c>
    </row>
    <row r="511" customFormat="false" ht="15" hidden="false" customHeight="false" outlineLevel="0" collapsed="false">
      <c r="A511" s="2" t="s">
        <v>8</v>
      </c>
      <c r="B511" s="2" t="s">
        <v>220</v>
      </c>
      <c r="C511" s="3" t="n">
        <v>46193</v>
      </c>
      <c r="D511" s="2" t="str">
        <f aca="false">TEXT(C511,"YYYY-MM")</f>
        <v>2026-06</v>
      </c>
      <c r="E511" s="4" t="s">
        <v>207</v>
      </c>
      <c r="F511" s="4" t="s">
        <v>58</v>
      </c>
      <c r="G511" s="5" t="n">
        <v>726</v>
      </c>
      <c r="H511" s="2"/>
    </row>
    <row r="512" customFormat="false" ht="15" hidden="false" customHeight="false" outlineLevel="0" collapsed="false">
      <c r="A512" s="2" t="s">
        <v>8</v>
      </c>
      <c r="B512" s="2" t="s">
        <v>220</v>
      </c>
      <c r="C512" s="3" t="n">
        <v>46195</v>
      </c>
      <c r="D512" s="2" t="str">
        <f aca="false">TEXT(C512,"YYYY-MM")</f>
        <v>2026-06</v>
      </c>
      <c r="E512" s="2" t="s">
        <v>240</v>
      </c>
      <c r="F512" s="4" t="s">
        <v>13</v>
      </c>
      <c r="G512" s="5" t="n">
        <v>15032</v>
      </c>
      <c r="H512" s="4" t="s">
        <v>233</v>
      </c>
    </row>
    <row r="513" customFormat="false" ht="15" hidden="false" customHeight="false" outlineLevel="0" collapsed="false">
      <c r="A513" s="2" t="s">
        <v>8</v>
      </c>
      <c r="B513" s="2" t="s">
        <v>220</v>
      </c>
      <c r="C513" s="3" t="n">
        <v>46196</v>
      </c>
      <c r="D513" s="2" t="str">
        <f aca="false">TEXT(C513,"YYYY-MM")</f>
        <v>2026-06</v>
      </c>
      <c r="E513" s="2" t="s">
        <v>34</v>
      </c>
      <c r="F513" s="4" t="s">
        <v>35</v>
      </c>
      <c r="G513" s="5" t="n">
        <v>740</v>
      </c>
      <c r="H513" s="2"/>
    </row>
    <row r="514" customFormat="false" ht="15" hidden="false" customHeight="false" outlineLevel="0" collapsed="false">
      <c r="A514" s="2" t="s">
        <v>8</v>
      </c>
      <c r="B514" s="2" t="s">
        <v>220</v>
      </c>
      <c r="C514" s="3" t="n">
        <v>46197</v>
      </c>
      <c r="D514" s="2" t="str">
        <f aca="false">TEXT(C514,"YYYY-MM")</f>
        <v>2026-06</v>
      </c>
      <c r="E514" s="2" t="s">
        <v>34</v>
      </c>
      <c r="F514" s="4" t="s">
        <v>35</v>
      </c>
      <c r="G514" s="5" t="n">
        <v>3400</v>
      </c>
      <c r="H514" s="2"/>
    </row>
    <row r="515" customFormat="false" ht="15" hidden="false" customHeight="false" outlineLevel="0" collapsed="false">
      <c r="A515" s="2" t="s">
        <v>8</v>
      </c>
      <c r="B515" s="2" t="s">
        <v>220</v>
      </c>
      <c r="C515" s="3" t="n">
        <v>46197</v>
      </c>
      <c r="D515" s="2" t="str">
        <f aca="false">TEXT(C515,"YYYY-MM")</f>
        <v>2026-06</v>
      </c>
      <c r="E515" s="2" t="s">
        <v>209</v>
      </c>
      <c r="F515" s="4" t="s">
        <v>13</v>
      </c>
      <c r="G515" s="5" t="n">
        <v>12436</v>
      </c>
      <c r="H515" s="4" t="s">
        <v>76</v>
      </c>
    </row>
    <row r="516" customFormat="false" ht="15" hidden="false" customHeight="false" outlineLevel="0" collapsed="false">
      <c r="A516" s="2" t="s">
        <v>8</v>
      </c>
      <c r="B516" s="2" t="s">
        <v>220</v>
      </c>
      <c r="C516" s="3" t="n">
        <v>46197</v>
      </c>
      <c r="D516" s="2" t="str">
        <f aca="false">TEXT(C516,"YYYY-MM")</f>
        <v>2026-06</v>
      </c>
      <c r="E516" s="4" t="s">
        <v>67</v>
      </c>
      <c r="F516" s="4" t="s">
        <v>68</v>
      </c>
      <c r="G516" s="5" t="n">
        <v>6050</v>
      </c>
      <c r="H516" s="4" t="s">
        <v>69</v>
      </c>
    </row>
    <row r="517" customFormat="false" ht="15" hidden="false" customHeight="false" outlineLevel="0" collapsed="false">
      <c r="A517" s="2" t="s">
        <v>8</v>
      </c>
      <c r="B517" s="2" t="s">
        <v>220</v>
      </c>
      <c r="C517" s="3" t="n">
        <v>46198</v>
      </c>
      <c r="D517" s="2" t="str">
        <f aca="false">TEXT(C517,"YYYY-MM")</f>
        <v>2026-06</v>
      </c>
      <c r="E517" s="4" t="s">
        <v>46</v>
      </c>
      <c r="F517" s="4" t="s">
        <v>13</v>
      </c>
      <c r="G517" s="5" t="n">
        <v>10680</v>
      </c>
      <c r="H517" s="4" t="s">
        <v>47</v>
      </c>
    </row>
    <row r="518" customFormat="false" ht="15" hidden="false" customHeight="false" outlineLevel="0" collapsed="false">
      <c r="A518" s="2" t="s">
        <v>8</v>
      </c>
      <c r="B518" s="2" t="s">
        <v>220</v>
      </c>
      <c r="C518" s="3" t="n">
        <v>46198</v>
      </c>
      <c r="D518" s="2" t="str">
        <f aca="false">TEXT(C518,"YYYY-MM")</f>
        <v>2026-06</v>
      </c>
      <c r="E518" s="4" t="s">
        <v>78</v>
      </c>
      <c r="F518" s="4" t="s">
        <v>58</v>
      </c>
      <c r="G518" s="5" t="n">
        <v>155909</v>
      </c>
      <c r="H518" s="4" t="s">
        <v>79</v>
      </c>
    </row>
    <row r="519" customFormat="false" ht="15" hidden="false" customHeight="false" outlineLevel="0" collapsed="false">
      <c r="A519" s="2" t="s">
        <v>8</v>
      </c>
      <c r="B519" s="2" t="s">
        <v>220</v>
      </c>
      <c r="C519" s="3" t="n">
        <v>46199</v>
      </c>
      <c r="D519" s="2" t="str">
        <f aca="false">TEXT(C519,"YYYY-MM")</f>
        <v>2026-06</v>
      </c>
      <c r="E519" s="2" t="s">
        <v>209</v>
      </c>
      <c r="F519" s="4" t="s">
        <v>13</v>
      </c>
      <c r="G519" s="5" t="n">
        <v>6835</v>
      </c>
      <c r="H519" s="4" t="s">
        <v>76</v>
      </c>
    </row>
    <row r="520" customFormat="false" ht="15" hidden="false" customHeight="false" outlineLevel="0" collapsed="false">
      <c r="A520" s="2" t="s">
        <v>8</v>
      </c>
      <c r="B520" s="2" t="s">
        <v>220</v>
      </c>
      <c r="C520" s="3" t="n">
        <v>46199</v>
      </c>
      <c r="D520" s="2" t="str">
        <f aca="false">TEXT(C520,"YYYY-MM")</f>
        <v>2026-06</v>
      </c>
      <c r="E520" s="4" t="s">
        <v>207</v>
      </c>
      <c r="F520" s="4" t="s">
        <v>58</v>
      </c>
      <c r="G520" s="5" t="n">
        <v>25756</v>
      </c>
      <c r="H520" s="2"/>
    </row>
    <row r="521" customFormat="false" ht="15" hidden="false" customHeight="false" outlineLevel="0" collapsed="false">
      <c r="A521" s="2" t="s">
        <v>8</v>
      </c>
      <c r="B521" s="2" t="s">
        <v>220</v>
      </c>
      <c r="C521" s="3" t="n">
        <v>46199</v>
      </c>
      <c r="D521" s="2" t="str">
        <f aca="false">TEXT(C521,"YYYY-MM")</f>
        <v>2026-06</v>
      </c>
      <c r="E521" s="4" t="s">
        <v>46</v>
      </c>
      <c r="F521" s="4" t="s">
        <v>13</v>
      </c>
      <c r="G521" s="5" t="n">
        <v>10880</v>
      </c>
      <c r="H521" s="4" t="s">
        <v>47</v>
      </c>
    </row>
    <row r="522" customFormat="false" ht="15" hidden="false" customHeight="false" outlineLevel="0" collapsed="false">
      <c r="A522" s="2" t="s">
        <v>8</v>
      </c>
      <c r="B522" s="2" t="s">
        <v>220</v>
      </c>
      <c r="C522" s="3" t="n">
        <v>46199</v>
      </c>
      <c r="D522" s="2" t="str">
        <f aca="false">TEXT(C522,"YYYY-MM")</f>
        <v>2026-06</v>
      </c>
      <c r="E522" s="2" t="s">
        <v>12</v>
      </c>
      <c r="F522" s="4" t="s">
        <v>13</v>
      </c>
      <c r="G522" s="5" t="n">
        <v>1110</v>
      </c>
      <c r="H522" s="2"/>
    </row>
    <row r="523" customFormat="false" ht="15" hidden="false" customHeight="false" outlineLevel="0" collapsed="false">
      <c r="A523" s="2" t="s">
        <v>8</v>
      </c>
      <c r="B523" s="2" t="s">
        <v>220</v>
      </c>
      <c r="C523" s="3" t="n">
        <v>46199</v>
      </c>
      <c r="D523" s="2" t="str">
        <f aca="false">TEXT(C523,"YYYY-MM")</f>
        <v>2026-06</v>
      </c>
      <c r="E523" s="2" t="s">
        <v>12</v>
      </c>
      <c r="F523" s="4" t="s">
        <v>13</v>
      </c>
      <c r="G523" s="5" t="n">
        <v>1210</v>
      </c>
      <c r="H523" s="2"/>
    </row>
    <row r="524" customFormat="false" ht="15" hidden="false" customHeight="false" outlineLevel="0" collapsed="false">
      <c r="A524" s="2" t="s">
        <v>8</v>
      </c>
      <c r="B524" s="2" t="s">
        <v>220</v>
      </c>
      <c r="C524" s="3" t="n">
        <v>46199</v>
      </c>
      <c r="D524" s="2" t="str">
        <f aca="false">TEXT(C524,"YYYY-MM")</f>
        <v>2026-06</v>
      </c>
      <c r="E524" s="2" t="s">
        <v>12</v>
      </c>
      <c r="F524" s="4" t="s">
        <v>13</v>
      </c>
      <c r="G524" s="5" t="n">
        <v>1310</v>
      </c>
      <c r="H524" s="2"/>
    </row>
    <row r="525" customFormat="false" ht="15" hidden="false" customHeight="false" outlineLevel="0" collapsed="false">
      <c r="A525" s="2" t="s">
        <v>8</v>
      </c>
      <c r="B525" s="2" t="s">
        <v>220</v>
      </c>
      <c r="C525" s="3" t="n">
        <v>46202</v>
      </c>
      <c r="D525" s="2" t="str">
        <f aca="false">TEXT(C525,"YYYY-MM")</f>
        <v>2026-06</v>
      </c>
      <c r="E525" s="2" t="s">
        <v>34</v>
      </c>
      <c r="F525" s="4" t="s">
        <v>35</v>
      </c>
      <c r="G525" s="5" t="n">
        <v>2100</v>
      </c>
      <c r="H525" s="2"/>
    </row>
    <row r="526" customFormat="false" ht="15" hidden="false" customHeight="false" outlineLevel="0" collapsed="false">
      <c r="A526" s="2" t="s">
        <v>8</v>
      </c>
      <c r="B526" s="2" t="s">
        <v>220</v>
      </c>
      <c r="C526" s="3" t="n">
        <v>46202</v>
      </c>
      <c r="D526" s="2" t="str">
        <f aca="false">TEXT(C526,"YYYY-MM")</f>
        <v>2026-06</v>
      </c>
      <c r="E526" s="2" t="s">
        <v>34</v>
      </c>
      <c r="F526" s="4" t="s">
        <v>35</v>
      </c>
      <c r="G526" s="5" t="n">
        <v>4550</v>
      </c>
      <c r="H526" s="2"/>
    </row>
    <row r="527" customFormat="false" ht="15" hidden="false" customHeight="false" outlineLevel="0" collapsed="false">
      <c r="A527" s="2" t="s">
        <v>8</v>
      </c>
      <c r="B527" s="2" t="s">
        <v>220</v>
      </c>
      <c r="C527" s="3" t="n">
        <v>46203</v>
      </c>
      <c r="D527" s="2" t="str">
        <f aca="false">TEXT(C527,"YYYY-MM")</f>
        <v>2026-06</v>
      </c>
      <c r="E527" s="4" t="s">
        <v>86</v>
      </c>
      <c r="F527" s="4" t="s">
        <v>87</v>
      </c>
      <c r="G527" s="5" t="n">
        <v>22000</v>
      </c>
      <c r="H527" s="4" t="s">
        <v>88</v>
      </c>
    </row>
    <row r="528" customFormat="false" ht="15" hidden="false" customHeight="false" outlineLevel="0" collapsed="false">
      <c r="A528" s="2" t="s">
        <v>8</v>
      </c>
      <c r="B528" s="2" t="s">
        <v>220</v>
      </c>
      <c r="C528" s="3" t="n">
        <v>46204</v>
      </c>
      <c r="D528" s="2" t="str">
        <f aca="false">TEXT(C528,"YYYY-MM")</f>
        <v>2026-07</v>
      </c>
      <c r="E528" s="2" t="s">
        <v>181</v>
      </c>
      <c r="F528" s="4" t="s">
        <v>58</v>
      </c>
      <c r="G528" s="5" t="n">
        <v>30000</v>
      </c>
      <c r="H528" s="4" t="s">
        <v>182</v>
      </c>
    </row>
    <row r="529" customFormat="false" ht="15" hidden="false" customHeight="false" outlineLevel="0" collapsed="false">
      <c r="A529" s="2" t="s">
        <v>8</v>
      </c>
      <c r="B529" s="2" t="s">
        <v>220</v>
      </c>
      <c r="C529" s="3" t="n">
        <v>46206</v>
      </c>
      <c r="D529" s="2" t="str">
        <f aca="false">TEXT(C529,"YYYY-MM")</f>
        <v>2026-07</v>
      </c>
      <c r="E529" s="2" t="s">
        <v>34</v>
      </c>
      <c r="F529" s="4" t="s">
        <v>35</v>
      </c>
      <c r="G529" s="5" t="n">
        <v>1580</v>
      </c>
      <c r="H529" s="2"/>
    </row>
    <row r="530" customFormat="false" ht="15" hidden="false" customHeight="false" outlineLevel="0" collapsed="false">
      <c r="A530" s="2" t="s">
        <v>8</v>
      </c>
      <c r="B530" s="2" t="s">
        <v>220</v>
      </c>
      <c r="C530" s="3" t="n">
        <v>46206</v>
      </c>
      <c r="D530" s="2" t="str">
        <f aca="false">TEXT(C530,"YYYY-MM")</f>
        <v>2026-07</v>
      </c>
      <c r="E530" s="2" t="s">
        <v>34</v>
      </c>
      <c r="F530" s="4" t="s">
        <v>35</v>
      </c>
      <c r="G530" s="5" t="n">
        <v>4200</v>
      </c>
      <c r="H530" s="2"/>
    </row>
    <row r="531" customFormat="false" ht="15" hidden="false" customHeight="false" outlineLevel="0" collapsed="false">
      <c r="A531" s="2" t="s">
        <v>8</v>
      </c>
      <c r="B531" s="2" t="s">
        <v>220</v>
      </c>
      <c r="C531" s="3" t="n">
        <v>46182</v>
      </c>
      <c r="D531" s="2" t="str">
        <f aca="false">TEXT(C531,"YYYY-MM")</f>
        <v>2026-06</v>
      </c>
      <c r="E531" s="4" t="s">
        <v>241</v>
      </c>
      <c r="F531" s="4" t="s">
        <v>37</v>
      </c>
      <c r="G531" s="5" t="n">
        <v>-4690</v>
      </c>
      <c r="H531" s="4" t="s">
        <v>242</v>
      </c>
    </row>
    <row r="532" customFormat="false" ht="15" hidden="false" customHeight="false" outlineLevel="0" collapsed="false">
      <c r="A532" s="2" t="s">
        <v>8</v>
      </c>
      <c r="B532" s="2" t="s">
        <v>220</v>
      </c>
      <c r="C532" s="3" t="n">
        <v>46183</v>
      </c>
      <c r="D532" s="2" t="str">
        <f aca="false">TEXT(C532,"YYYY-MM")</f>
        <v>2026-06</v>
      </c>
      <c r="E532" s="2" t="s">
        <v>243</v>
      </c>
      <c r="F532" s="4" t="s">
        <v>13</v>
      </c>
      <c r="G532" s="5" t="n">
        <v>-202020</v>
      </c>
      <c r="H532" s="4" t="s">
        <v>242</v>
      </c>
    </row>
    <row r="533" customFormat="false" ht="15" hidden="false" customHeight="false" outlineLevel="0" collapsed="false">
      <c r="A533" s="2" t="s">
        <v>8</v>
      </c>
      <c r="B533" s="2" t="s">
        <v>244</v>
      </c>
      <c r="C533" s="3" t="n">
        <v>46193</v>
      </c>
      <c r="D533" s="2" t="str">
        <f aca="false">TEXT(C533,"YYYY-MM")</f>
        <v>2026-06</v>
      </c>
      <c r="E533" s="2" t="s">
        <v>221</v>
      </c>
      <c r="F533" s="4" t="s">
        <v>17</v>
      </c>
      <c r="G533" s="5" t="n">
        <v>630</v>
      </c>
      <c r="H533" s="2"/>
    </row>
    <row r="534" customFormat="false" ht="15" hidden="false" customHeight="false" outlineLevel="0" collapsed="false">
      <c r="A534" s="2" t="s">
        <v>8</v>
      </c>
      <c r="B534" s="2" t="s">
        <v>244</v>
      </c>
      <c r="C534" s="3" t="n">
        <v>46193</v>
      </c>
      <c r="D534" s="2" t="str">
        <f aca="false">TEXT(C534,"YYYY-MM")</f>
        <v>2026-06</v>
      </c>
      <c r="E534" s="2" t="s">
        <v>221</v>
      </c>
      <c r="F534" s="4" t="s">
        <v>17</v>
      </c>
      <c r="G534" s="5" t="n">
        <v>630</v>
      </c>
      <c r="H534" s="2"/>
    </row>
    <row r="535" customFormat="false" ht="15" hidden="false" customHeight="false" outlineLevel="0" collapsed="false">
      <c r="A535" s="2" t="s">
        <v>8</v>
      </c>
      <c r="B535" s="2" t="s">
        <v>244</v>
      </c>
      <c r="C535" s="3" t="n">
        <v>46193</v>
      </c>
      <c r="D535" s="2" t="str">
        <f aca="false">TEXT(C535,"YYYY-MM")</f>
        <v>2026-06</v>
      </c>
      <c r="E535" s="2" t="s">
        <v>24</v>
      </c>
      <c r="F535" s="4" t="s">
        <v>17</v>
      </c>
      <c r="G535" s="5" t="n">
        <v>300</v>
      </c>
      <c r="H535" s="2"/>
    </row>
    <row r="536" customFormat="false" ht="15" hidden="false" customHeight="false" outlineLevel="0" collapsed="false">
      <c r="A536" s="2" t="s">
        <v>8</v>
      </c>
      <c r="B536" s="2" t="s">
        <v>244</v>
      </c>
      <c r="C536" s="3" t="n">
        <v>46193</v>
      </c>
      <c r="D536" s="2" t="str">
        <f aca="false">TEXT(C536,"YYYY-MM")</f>
        <v>2026-06</v>
      </c>
      <c r="E536" s="2" t="s">
        <v>24</v>
      </c>
      <c r="F536" s="4" t="s">
        <v>17</v>
      </c>
      <c r="G536" s="5" t="n">
        <v>300</v>
      </c>
      <c r="H536" s="2"/>
    </row>
    <row r="537" customFormat="false" ht="15" hidden="false" customHeight="false" outlineLevel="0" collapsed="false">
      <c r="A537" s="2" t="s">
        <v>8</v>
      </c>
      <c r="B537" s="2" t="s">
        <v>244</v>
      </c>
      <c r="C537" s="3" t="n">
        <v>46194</v>
      </c>
      <c r="D537" s="2" t="str">
        <f aca="false">TEXT(C537,"YYYY-MM")</f>
        <v>2026-06</v>
      </c>
      <c r="E537" s="2" t="s">
        <v>245</v>
      </c>
      <c r="F537" s="4" t="s">
        <v>17</v>
      </c>
      <c r="G537" s="5" t="n">
        <v>1260</v>
      </c>
      <c r="H537" s="2"/>
    </row>
    <row r="538" customFormat="false" ht="15" hidden="false" customHeight="false" outlineLevel="0" collapsed="false">
      <c r="A538" s="2" t="s">
        <v>8</v>
      </c>
      <c r="B538" s="2" t="s">
        <v>244</v>
      </c>
      <c r="C538" s="3" t="n">
        <v>46194</v>
      </c>
      <c r="D538" s="2" t="str">
        <f aca="false">TEXT(C538,"YYYY-MM")</f>
        <v>2026-06</v>
      </c>
      <c r="E538" s="2" t="s">
        <v>245</v>
      </c>
      <c r="F538" s="4" t="s">
        <v>17</v>
      </c>
      <c r="G538" s="5" t="n">
        <v>420</v>
      </c>
      <c r="H538" s="2"/>
    </row>
    <row r="539" customFormat="false" ht="15" hidden="false" customHeight="false" outlineLevel="0" collapsed="false">
      <c r="A539" s="2" t="s">
        <v>8</v>
      </c>
      <c r="B539" s="2" t="s">
        <v>244</v>
      </c>
      <c r="C539" s="3" t="n">
        <v>46194</v>
      </c>
      <c r="D539" s="2" t="str">
        <f aca="false">TEXT(C539,"YYYY-MM")</f>
        <v>2026-06</v>
      </c>
      <c r="E539" s="2" t="s">
        <v>23</v>
      </c>
      <c r="F539" s="4" t="s">
        <v>17</v>
      </c>
      <c r="G539" s="5" t="n">
        <v>420</v>
      </c>
      <c r="H539" s="2"/>
    </row>
    <row r="540" customFormat="false" ht="15" hidden="false" customHeight="false" outlineLevel="0" collapsed="false">
      <c r="A540" s="2" t="s">
        <v>8</v>
      </c>
      <c r="B540" s="2" t="s">
        <v>244</v>
      </c>
      <c r="C540" s="3" t="n">
        <v>46194</v>
      </c>
      <c r="D540" s="2" t="str">
        <f aca="false">TEXT(C540,"YYYY-MM")</f>
        <v>2026-06</v>
      </c>
      <c r="E540" s="2" t="s">
        <v>24</v>
      </c>
      <c r="F540" s="4" t="s">
        <v>17</v>
      </c>
      <c r="G540" s="5" t="n">
        <v>1210</v>
      </c>
      <c r="H540" s="2"/>
    </row>
    <row r="541" customFormat="false" ht="15" hidden="false" customHeight="false" outlineLevel="0" collapsed="false">
      <c r="A541" s="2" t="s">
        <v>8</v>
      </c>
      <c r="B541" s="2" t="s">
        <v>244</v>
      </c>
      <c r="C541" s="3" t="n">
        <v>46194</v>
      </c>
      <c r="D541" s="2" t="str">
        <f aca="false">TEXT(C541,"YYYY-MM")</f>
        <v>2026-06</v>
      </c>
      <c r="E541" s="2" t="s">
        <v>24</v>
      </c>
      <c r="F541" s="4" t="s">
        <v>17</v>
      </c>
      <c r="G541" s="5" t="n">
        <v>1400</v>
      </c>
      <c r="H541" s="2"/>
    </row>
    <row r="542" customFormat="false" ht="15" hidden="false" customHeight="false" outlineLevel="0" collapsed="false">
      <c r="A542" s="2" t="s">
        <v>8</v>
      </c>
      <c r="B542" s="2" t="s">
        <v>244</v>
      </c>
      <c r="C542" s="3" t="n">
        <v>46203</v>
      </c>
      <c r="D542" s="2" t="str">
        <f aca="false">TEXT(C542,"YYYY-MM")</f>
        <v>2026-06</v>
      </c>
      <c r="E542" s="4" t="s">
        <v>94</v>
      </c>
      <c r="F542" s="4" t="s">
        <v>87</v>
      </c>
      <c r="G542" s="5" t="n">
        <v>10780</v>
      </c>
      <c r="H542" s="4" t="s">
        <v>95</v>
      </c>
    </row>
    <row r="543" customFormat="false" ht="15" hidden="false" customHeight="false" outlineLevel="0" collapsed="false">
      <c r="A543" s="2" t="s">
        <v>8</v>
      </c>
      <c r="B543" s="2" t="s">
        <v>244</v>
      </c>
      <c r="C543" s="3" t="n">
        <v>46203</v>
      </c>
      <c r="D543" s="2" t="str">
        <f aca="false">TEXT(C543,"YYYY-MM")</f>
        <v>2026-06</v>
      </c>
      <c r="E543" s="4" t="s">
        <v>14</v>
      </c>
      <c r="F543" s="4" t="s">
        <v>15</v>
      </c>
      <c r="G543" s="5" t="n">
        <v>1543</v>
      </c>
      <c r="H543" s="2"/>
    </row>
    <row r="544" customFormat="false" ht="15" hidden="false" customHeight="false" outlineLevel="0" collapsed="false">
      <c r="A544" s="2" t="s">
        <v>8</v>
      </c>
      <c r="B544" s="2" t="s">
        <v>244</v>
      </c>
      <c r="C544" s="3" t="n">
        <v>46203</v>
      </c>
      <c r="D544" s="2" t="str">
        <f aca="false">TEXT(C544,"YYYY-MM")</f>
        <v>2026-06</v>
      </c>
      <c r="E544" s="4" t="s">
        <v>14</v>
      </c>
      <c r="F544" s="4" t="s">
        <v>15</v>
      </c>
      <c r="G544" s="5" t="n">
        <v>1763</v>
      </c>
      <c r="H544" s="2"/>
    </row>
    <row r="545" customFormat="false" ht="15" hidden="false" customHeight="false" outlineLevel="0" collapsed="false">
      <c r="A545" s="2" t="s">
        <v>8</v>
      </c>
      <c r="B545" s="2" t="s">
        <v>244</v>
      </c>
      <c r="C545" s="3" t="n">
        <v>46203</v>
      </c>
      <c r="D545" s="2" t="str">
        <f aca="false">TEXT(C545,"YYYY-MM")</f>
        <v>2026-06</v>
      </c>
      <c r="E545" s="4" t="s">
        <v>14</v>
      </c>
      <c r="F545" s="4" t="s">
        <v>15</v>
      </c>
      <c r="G545" s="5" t="n">
        <v>1543</v>
      </c>
      <c r="H545" s="2"/>
    </row>
    <row r="546" customFormat="false" ht="15" hidden="false" customHeight="false" outlineLevel="0" collapsed="false">
      <c r="A546" s="2" t="s">
        <v>8</v>
      </c>
      <c r="B546" s="2" t="s">
        <v>244</v>
      </c>
      <c r="C546" s="3" t="n">
        <v>46203</v>
      </c>
      <c r="D546" s="2" t="str">
        <f aca="false">TEXT(C546,"YYYY-MM")</f>
        <v>2026-06</v>
      </c>
      <c r="E546" s="4" t="s">
        <v>14</v>
      </c>
      <c r="F546" s="4" t="s">
        <v>15</v>
      </c>
      <c r="G546" s="5" t="n">
        <v>2423</v>
      </c>
      <c r="H546" s="2"/>
    </row>
    <row r="547" customFormat="false" ht="15" hidden="false" customHeight="false" outlineLevel="0" collapsed="false">
      <c r="A547" s="2" t="s">
        <v>8</v>
      </c>
      <c r="B547" s="2" t="s">
        <v>244</v>
      </c>
      <c r="C547" s="3" t="n">
        <v>46206</v>
      </c>
      <c r="D547" s="2" t="str">
        <f aca="false">TEXT(C547,"YYYY-MM")</f>
        <v>2026-07</v>
      </c>
      <c r="E547" s="4" t="s">
        <v>55</v>
      </c>
      <c r="F547" s="4" t="s">
        <v>35</v>
      </c>
      <c r="G547" s="5" t="n">
        <v>844</v>
      </c>
      <c r="H547" s="2"/>
    </row>
    <row r="548" customFormat="false" ht="15" hidden="false" customHeight="false" outlineLevel="0" collapsed="false">
      <c r="A548" s="2" t="s">
        <v>8</v>
      </c>
      <c r="B548" s="2" t="s">
        <v>244</v>
      </c>
      <c r="C548" s="3" t="n">
        <v>46206</v>
      </c>
      <c r="D548" s="2" t="str">
        <f aca="false">TEXT(C548,"YYYY-MM")</f>
        <v>2026-07</v>
      </c>
      <c r="E548" s="4" t="s">
        <v>207</v>
      </c>
      <c r="F548" s="4" t="s">
        <v>58</v>
      </c>
      <c r="G548" s="5" t="n">
        <v>20896</v>
      </c>
      <c r="H548" s="2"/>
    </row>
    <row r="549" customFormat="false" ht="15" hidden="false" customHeight="false" outlineLevel="0" collapsed="false">
      <c r="A549" s="2" t="s">
        <v>8</v>
      </c>
      <c r="B549" s="2" t="s">
        <v>244</v>
      </c>
      <c r="C549" s="3" t="n">
        <v>46207</v>
      </c>
      <c r="D549" s="2" t="str">
        <f aca="false">TEXT(C549,"YYYY-MM")</f>
        <v>2026-07</v>
      </c>
      <c r="E549" s="2" t="s">
        <v>34</v>
      </c>
      <c r="F549" s="4" t="s">
        <v>35</v>
      </c>
      <c r="G549" s="5" t="n">
        <v>1500</v>
      </c>
      <c r="H549" s="2"/>
    </row>
    <row r="550" customFormat="false" ht="15" hidden="false" customHeight="false" outlineLevel="0" collapsed="false">
      <c r="A550" s="2" t="s">
        <v>8</v>
      </c>
      <c r="B550" s="2" t="s">
        <v>244</v>
      </c>
      <c r="C550" s="3" t="n">
        <v>46208</v>
      </c>
      <c r="D550" s="2" t="str">
        <f aca="false">TEXT(C550,"YYYY-MM")</f>
        <v>2026-07</v>
      </c>
      <c r="E550" s="2" t="s">
        <v>44</v>
      </c>
      <c r="F550" s="4" t="s">
        <v>35</v>
      </c>
      <c r="G550" s="5" t="n">
        <v>2900</v>
      </c>
      <c r="H550" s="2"/>
    </row>
    <row r="551" customFormat="false" ht="15" hidden="false" customHeight="false" outlineLevel="0" collapsed="false">
      <c r="A551" s="2" t="s">
        <v>8</v>
      </c>
      <c r="B551" s="2" t="s">
        <v>244</v>
      </c>
      <c r="C551" s="3" t="n">
        <v>46208</v>
      </c>
      <c r="D551" s="2" t="str">
        <f aca="false">TEXT(C551,"YYYY-MM")</f>
        <v>2026-07</v>
      </c>
      <c r="E551" s="2" t="s">
        <v>23</v>
      </c>
      <c r="F551" s="4" t="s">
        <v>17</v>
      </c>
      <c r="G551" s="5" t="n">
        <v>320</v>
      </c>
      <c r="H551" s="2"/>
    </row>
    <row r="552" customFormat="false" ht="15" hidden="false" customHeight="false" outlineLevel="0" collapsed="false">
      <c r="A552" s="2" t="s">
        <v>8</v>
      </c>
      <c r="B552" s="2" t="s">
        <v>244</v>
      </c>
      <c r="C552" s="3" t="n">
        <v>46208</v>
      </c>
      <c r="D552" s="2" t="str">
        <f aca="false">TEXT(C552,"YYYY-MM")</f>
        <v>2026-07</v>
      </c>
      <c r="E552" s="2" t="s">
        <v>23</v>
      </c>
      <c r="F552" s="4" t="s">
        <v>17</v>
      </c>
      <c r="G552" s="5" t="n">
        <v>320</v>
      </c>
      <c r="H552" s="2"/>
    </row>
    <row r="553" customFormat="false" ht="15" hidden="false" customHeight="false" outlineLevel="0" collapsed="false">
      <c r="A553" s="2" t="s">
        <v>8</v>
      </c>
      <c r="B553" s="2" t="s">
        <v>244</v>
      </c>
      <c r="C553" s="3" t="n">
        <v>46208</v>
      </c>
      <c r="D553" s="2" t="str">
        <f aca="false">TEXT(C553,"YYYY-MM")</f>
        <v>2026-07</v>
      </c>
      <c r="E553" s="2" t="s">
        <v>24</v>
      </c>
      <c r="F553" s="4" t="s">
        <v>17</v>
      </c>
      <c r="G553" s="5" t="n">
        <v>1450</v>
      </c>
      <c r="H553" s="2"/>
    </row>
    <row r="554" customFormat="false" ht="15" hidden="false" customHeight="false" outlineLevel="0" collapsed="false">
      <c r="A554" s="2" t="s">
        <v>8</v>
      </c>
      <c r="B554" s="2" t="s">
        <v>244</v>
      </c>
      <c r="C554" s="3" t="n">
        <v>46208</v>
      </c>
      <c r="D554" s="2" t="str">
        <f aca="false">TEXT(C554,"YYYY-MM")</f>
        <v>2026-07</v>
      </c>
      <c r="E554" s="2" t="s">
        <v>24</v>
      </c>
      <c r="F554" s="4" t="s">
        <v>17</v>
      </c>
      <c r="G554" s="5" t="n">
        <v>1450</v>
      </c>
      <c r="H554" s="2"/>
    </row>
    <row r="555" customFormat="false" ht="15" hidden="false" customHeight="false" outlineLevel="0" collapsed="false">
      <c r="A555" s="2" t="s">
        <v>8</v>
      </c>
      <c r="B555" s="2" t="s">
        <v>244</v>
      </c>
      <c r="C555" s="3" t="n">
        <v>46209</v>
      </c>
      <c r="D555" s="2" t="str">
        <f aca="false">TEXT(C555,"YYYY-MM")</f>
        <v>2026-07</v>
      </c>
      <c r="E555" s="4" t="s">
        <v>224</v>
      </c>
      <c r="F555" s="4" t="s">
        <v>87</v>
      </c>
      <c r="G555" s="5" t="n">
        <v>3300</v>
      </c>
      <c r="H555" s="4" t="s">
        <v>225</v>
      </c>
    </row>
    <row r="556" customFormat="false" ht="15" hidden="false" customHeight="false" outlineLevel="0" collapsed="false">
      <c r="A556" s="2" t="s">
        <v>8</v>
      </c>
      <c r="B556" s="2" t="s">
        <v>244</v>
      </c>
      <c r="C556" s="3" t="n">
        <v>46209</v>
      </c>
      <c r="D556" s="2" t="str">
        <f aca="false">TEXT(C556,"YYYY-MM")</f>
        <v>2026-07</v>
      </c>
      <c r="E556" s="4" t="s">
        <v>145</v>
      </c>
      <c r="F556" s="4" t="s">
        <v>11</v>
      </c>
      <c r="G556" s="5" t="n">
        <v>12574</v>
      </c>
      <c r="H556" s="2"/>
    </row>
    <row r="557" customFormat="false" ht="15" hidden="false" customHeight="false" outlineLevel="0" collapsed="false">
      <c r="A557" s="2" t="s">
        <v>8</v>
      </c>
      <c r="B557" s="2" t="s">
        <v>244</v>
      </c>
      <c r="C557" s="3" t="n">
        <v>46210</v>
      </c>
      <c r="D557" s="2" t="str">
        <f aca="false">TEXT(C557,"YYYY-MM")</f>
        <v>2026-07</v>
      </c>
      <c r="E557" s="2" t="s">
        <v>172</v>
      </c>
      <c r="F557" s="4" t="s">
        <v>173</v>
      </c>
      <c r="G557" s="5" t="n">
        <v>8000</v>
      </c>
      <c r="H557" s="2"/>
    </row>
    <row r="558" customFormat="false" ht="15" hidden="false" customHeight="false" outlineLevel="0" collapsed="false">
      <c r="A558" s="2" t="s">
        <v>8</v>
      </c>
      <c r="B558" s="2" t="s">
        <v>244</v>
      </c>
      <c r="C558" s="3" t="n">
        <v>46212</v>
      </c>
      <c r="D558" s="2" t="str">
        <f aca="false">TEXT(C558,"YYYY-MM")</f>
        <v>2026-07</v>
      </c>
      <c r="E558" s="2" t="s">
        <v>52</v>
      </c>
      <c r="F558" s="4" t="s">
        <v>35</v>
      </c>
      <c r="G558" s="5" t="n">
        <v>1280</v>
      </c>
      <c r="H558" s="2"/>
    </row>
    <row r="559" customFormat="false" ht="15" hidden="false" customHeight="false" outlineLevel="0" collapsed="false">
      <c r="A559" s="2" t="s">
        <v>8</v>
      </c>
      <c r="B559" s="2" t="s">
        <v>244</v>
      </c>
      <c r="C559" s="3" t="n">
        <v>46213</v>
      </c>
      <c r="D559" s="2" t="str">
        <f aca="false">TEXT(C559,"YYYY-MM")</f>
        <v>2026-07</v>
      </c>
      <c r="E559" s="4" t="s">
        <v>207</v>
      </c>
      <c r="F559" s="4" t="s">
        <v>58</v>
      </c>
      <c r="G559" s="5" t="n">
        <v>19932</v>
      </c>
      <c r="H559" s="2"/>
    </row>
    <row r="560" customFormat="false" ht="15" hidden="false" customHeight="false" outlineLevel="0" collapsed="false">
      <c r="A560" s="2" t="s">
        <v>8</v>
      </c>
      <c r="B560" s="2" t="s">
        <v>244</v>
      </c>
      <c r="C560" s="3" t="n">
        <v>46214</v>
      </c>
      <c r="D560" s="2" t="str">
        <f aca="false">TEXT(C560,"YYYY-MM")</f>
        <v>2026-07</v>
      </c>
      <c r="E560" s="2" t="s">
        <v>12</v>
      </c>
      <c r="F560" s="4" t="s">
        <v>13</v>
      </c>
      <c r="G560" s="5" t="n">
        <v>1070</v>
      </c>
      <c r="H560" s="2"/>
    </row>
    <row r="561" customFormat="false" ht="15" hidden="false" customHeight="false" outlineLevel="0" collapsed="false">
      <c r="A561" s="2" t="s">
        <v>8</v>
      </c>
      <c r="B561" s="2" t="s">
        <v>244</v>
      </c>
      <c r="C561" s="3" t="n">
        <v>46214</v>
      </c>
      <c r="D561" s="2" t="str">
        <f aca="false">TEXT(C561,"YYYY-MM")</f>
        <v>2026-07</v>
      </c>
      <c r="E561" s="2" t="s">
        <v>12</v>
      </c>
      <c r="F561" s="4" t="s">
        <v>13</v>
      </c>
      <c r="G561" s="5" t="n">
        <v>1270</v>
      </c>
      <c r="H561" s="2"/>
    </row>
    <row r="562" customFormat="false" ht="15" hidden="false" customHeight="false" outlineLevel="0" collapsed="false">
      <c r="A562" s="2" t="s">
        <v>8</v>
      </c>
      <c r="B562" s="2" t="s">
        <v>244</v>
      </c>
      <c r="C562" s="3" t="n">
        <v>46216</v>
      </c>
      <c r="D562" s="2" t="str">
        <f aca="false">TEXT(C562,"YYYY-MM")</f>
        <v>2026-07</v>
      </c>
      <c r="E562" s="2" t="s">
        <v>57</v>
      </c>
      <c r="F562" s="4" t="s">
        <v>58</v>
      </c>
      <c r="G562" s="5" t="n">
        <v>27500</v>
      </c>
      <c r="H562" s="4" t="s">
        <v>59</v>
      </c>
    </row>
    <row r="563" customFormat="false" ht="15" hidden="false" customHeight="false" outlineLevel="0" collapsed="false">
      <c r="A563" s="2" t="s">
        <v>8</v>
      </c>
      <c r="B563" s="2" t="s">
        <v>244</v>
      </c>
      <c r="C563" s="3" t="n">
        <v>46220</v>
      </c>
      <c r="D563" s="2" t="str">
        <f aca="false">TEXT(C563,"YYYY-MM")</f>
        <v>2026-07</v>
      </c>
      <c r="E563" s="4" t="s">
        <v>207</v>
      </c>
      <c r="F563" s="4" t="s">
        <v>58</v>
      </c>
      <c r="G563" s="5" t="n">
        <v>32348</v>
      </c>
      <c r="H563" s="2"/>
    </row>
    <row r="564" customFormat="false" ht="15" hidden="false" customHeight="false" outlineLevel="0" collapsed="false">
      <c r="A564" s="2" t="s">
        <v>8</v>
      </c>
      <c r="B564" s="2" t="s">
        <v>244</v>
      </c>
      <c r="C564" s="3" t="n">
        <v>46223</v>
      </c>
      <c r="D564" s="2" t="str">
        <f aca="false">TEXT(C564,"YYYY-MM")</f>
        <v>2026-07</v>
      </c>
      <c r="E564" s="2" t="s">
        <v>114</v>
      </c>
      <c r="F564" s="4" t="s">
        <v>28</v>
      </c>
      <c r="G564" s="5" t="n">
        <v>55000</v>
      </c>
      <c r="H564" s="4" t="s">
        <v>115</v>
      </c>
    </row>
    <row r="565" customFormat="false" ht="15" hidden="false" customHeight="false" outlineLevel="0" collapsed="false">
      <c r="A565" s="2" t="s">
        <v>8</v>
      </c>
      <c r="B565" s="2" t="s">
        <v>244</v>
      </c>
      <c r="C565" s="3" t="n">
        <v>46224</v>
      </c>
      <c r="D565" s="2" t="str">
        <f aca="false">TEXT(C565,"YYYY-MM")</f>
        <v>2026-07</v>
      </c>
      <c r="E565" s="4" t="s">
        <v>46</v>
      </c>
      <c r="F565" s="4" t="s">
        <v>13</v>
      </c>
      <c r="G565" s="5" t="n">
        <v>10880</v>
      </c>
      <c r="H565" s="4" t="s">
        <v>47</v>
      </c>
    </row>
    <row r="566" customFormat="false" ht="15" hidden="false" customHeight="false" outlineLevel="0" collapsed="false">
      <c r="A566" s="2" t="s">
        <v>8</v>
      </c>
      <c r="B566" s="2" t="s">
        <v>244</v>
      </c>
      <c r="C566" s="3" t="n">
        <v>46224</v>
      </c>
      <c r="D566" s="2" t="str">
        <f aca="false">TEXT(C566,"YYYY-MM")</f>
        <v>2026-07</v>
      </c>
      <c r="E566" s="4" t="s">
        <v>46</v>
      </c>
      <c r="F566" s="4" t="s">
        <v>13</v>
      </c>
      <c r="G566" s="5" t="n">
        <v>10880</v>
      </c>
      <c r="H566" s="4" t="s">
        <v>47</v>
      </c>
    </row>
    <row r="567" customFormat="false" ht="15" hidden="false" customHeight="false" outlineLevel="0" collapsed="false">
      <c r="A567" s="2" t="s">
        <v>8</v>
      </c>
      <c r="B567" s="2" t="s">
        <v>244</v>
      </c>
      <c r="C567" s="3" t="n">
        <v>46226</v>
      </c>
      <c r="D567" s="2" t="str">
        <f aca="false">TEXT(C567,"YYYY-MM")</f>
        <v>2026-07</v>
      </c>
      <c r="E567" s="2" t="s">
        <v>34</v>
      </c>
      <c r="F567" s="4" t="s">
        <v>35</v>
      </c>
      <c r="G567" s="5" t="n">
        <v>740</v>
      </c>
      <c r="H567" s="2"/>
    </row>
    <row r="568" customFormat="false" ht="15" hidden="false" customHeight="false" outlineLevel="0" collapsed="false">
      <c r="A568" s="2" t="s">
        <v>8</v>
      </c>
      <c r="B568" s="2" t="s">
        <v>244</v>
      </c>
      <c r="C568" s="3" t="n">
        <v>46227</v>
      </c>
      <c r="D568" s="2" t="str">
        <f aca="false">TEXT(C568,"YYYY-MM")</f>
        <v>2026-07</v>
      </c>
      <c r="E568" s="2" t="s">
        <v>34</v>
      </c>
      <c r="F568" s="4" t="s">
        <v>35</v>
      </c>
      <c r="G568" s="5" t="n">
        <v>3400</v>
      </c>
      <c r="H568" s="2"/>
    </row>
    <row r="569" customFormat="false" ht="15" hidden="false" customHeight="false" outlineLevel="0" collapsed="false">
      <c r="A569" s="2" t="s">
        <v>8</v>
      </c>
      <c r="B569" s="2" t="s">
        <v>244</v>
      </c>
      <c r="C569" s="3" t="n">
        <v>46227</v>
      </c>
      <c r="D569" s="2" t="str">
        <f aca="false">TEXT(C569,"YYYY-MM")</f>
        <v>2026-07</v>
      </c>
      <c r="E569" s="4" t="s">
        <v>207</v>
      </c>
      <c r="F569" s="4" t="s">
        <v>58</v>
      </c>
      <c r="G569" s="5" t="n">
        <v>29924</v>
      </c>
      <c r="H569" s="2"/>
    </row>
    <row r="570" customFormat="false" ht="15" hidden="false" customHeight="false" outlineLevel="0" collapsed="false">
      <c r="A570" s="2" t="s">
        <v>8</v>
      </c>
      <c r="B570" s="2" t="s">
        <v>244</v>
      </c>
      <c r="C570" s="3" t="n">
        <v>46230</v>
      </c>
      <c r="D570" s="2" t="str">
        <f aca="false">TEXT(C570,"YYYY-MM")</f>
        <v>2026-07</v>
      </c>
      <c r="E570" s="2" t="s">
        <v>34</v>
      </c>
      <c r="F570" s="4" t="s">
        <v>35</v>
      </c>
      <c r="G570" s="5" t="n">
        <v>500</v>
      </c>
      <c r="H570" s="2"/>
    </row>
    <row r="571" customFormat="false" ht="15" hidden="false" customHeight="false" outlineLevel="0" collapsed="false">
      <c r="A571" s="2" t="s">
        <v>8</v>
      </c>
      <c r="B571" s="2" t="s">
        <v>244</v>
      </c>
      <c r="C571" s="3" t="n">
        <v>46230</v>
      </c>
      <c r="D571" s="2" t="str">
        <f aca="false">TEXT(C571,"YYYY-MM")</f>
        <v>2026-07</v>
      </c>
      <c r="E571" s="4" t="s">
        <v>78</v>
      </c>
      <c r="F571" s="4" t="s">
        <v>58</v>
      </c>
      <c r="G571" s="5" t="n">
        <v>84592</v>
      </c>
      <c r="H571" s="4" t="s">
        <v>79</v>
      </c>
    </row>
    <row r="572" customFormat="false" ht="15" hidden="false" customHeight="false" outlineLevel="0" collapsed="false">
      <c r="A572" s="2" t="s">
        <v>8</v>
      </c>
      <c r="B572" s="2" t="s">
        <v>244</v>
      </c>
      <c r="C572" s="3" t="n">
        <v>46234</v>
      </c>
      <c r="D572" s="2" t="str">
        <f aca="false">TEXT(C572,"YYYY-MM")</f>
        <v>2026-07</v>
      </c>
      <c r="E572" s="4" t="s">
        <v>246</v>
      </c>
      <c r="F572" s="4" t="s">
        <v>22</v>
      </c>
      <c r="G572" s="5" t="n">
        <v>3280</v>
      </c>
      <c r="H572" s="2"/>
    </row>
    <row r="573" customFormat="false" ht="15" hidden="false" customHeight="false" outlineLevel="0" collapsed="false">
      <c r="A573" s="2" t="s">
        <v>8</v>
      </c>
      <c r="B573" s="2" t="s">
        <v>244</v>
      </c>
      <c r="C573" s="3" t="n">
        <v>46234</v>
      </c>
      <c r="D573" s="2" t="str">
        <f aca="false">TEXT(C573,"YYYY-MM")</f>
        <v>2026-07</v>
      </c>
      <c r="E573" s="4" t="s">
        <v>207</v>
      </c>
      <c r="F573" s="4" t="s">
        <v>58</v>
      </c>
      <c r="G573" s="5" t="n">
        <v>30048</v>
      </c>
      <c r="H573" s="2"/>
    </row>
    <row r="574" customFormat="false" ht="15" hidden="false" customHeight="false" outlineLevel="0" collapsed="false">
      <c r="A574" s="2" t="s">
        <v>8</v>
      </c>
      <c r="B574" s="2" t="s">
        <v>244</v>
      </c>
      <c r="C574" s="3" t="n">
        <v>46235</v>
      </c>
      <c r="D574" s="2" t="str">
        <f aca="false">TEXT(C574,"YYYY-MM")</f>
        <v>2026-08</v>
      </c>
      <c r="E574" s="2" t="s">
        <v>181</v>
      </c>
      <c r="F574" s="4" t="s">
        <v>58</v>
      </c>
      <c r="G574" s="5" t="n">
        <v>30000</v>
      </c>
      <c r="H574" s="4" t="s">
        <v>182</v>
      </c>
    </row>
    <row r="575" customFormat="false" ht="15" hidden="false" customHeight="false" outlineLevel="0" collapsed="false">
      <c r="A575" s="2" t="s">
        <v>8</v>
      </c>
      <c r="B575" s="2" t="s">
        <v>244</v>
      </c>
      <c r="C575" s="3" t="n">
        <v>46237</v>
      </c>
      <c r="D575" s="2" t="str">
        <f aca="false">TEXT(C575,"YYYY-MM")</f>
        <v>2026-08</v>
      </c>
      <c r="E575" s="2" t="s">
        <v>34</v>
      </c>
      <c r="F575" s="4" t="s">
        <v>35</v>
      </c>
      <c r="G575" s="5" t="n">
        <v>1580</v>
      </c>
      <c r="H575" s="2"/>
    </row>
    <row r="576" customFormat="false" ht="15" hidden="false" customHeight="false" outlineLevel="0" collapsed="false">
      <c r="A576" s="2" t="s">
        <v>247</v>
      </c>
      <c r="B576" s="2" t="s">
        <v>124</v>
      </c>
      <c r="C576" s="3" t="n">
        <v>46034</v>
      </c>
      <c r="D576" s="2" t="str">
        <f aca="false">TEXT(C576,"YYYY-MM")</f>
        <v>2026-01</v>
      </c>
      <c r="E576" s="2" t="s">
        <v>248</v>
      </c>
      <c r="F576" s="4" t="s">
        <v>37</v>
      </c>
      <c r="G576" s="5" t="n">
        <v>49918</v>
      </c>
      <c r="H576" s="2"/>
    </row>
    <row r="577" customFormat="false" ht="15" hidden="false" customHeight="false" outlineLevel="0" collapsed="false">
      <c r="A577" s="2" t="s">
        <v>247</v>
      </c>
      <c r="B577" s="2" t="s">
        <v>124</v>
      </c>
      <c r="C577" s="3" t="n">
        <v>46034</v>
      </c>
      <c r="D577" s="2" t="str">
        <f aca="false">TEXT(C577,"YYYY-MM")</f>
        <v>2026-01</v>
      </c>
      <c r="E577" s="2" t="s">
        <v>249</v>
      </c>
      <c r="F577" s="4" t="s">
        <v>22</v>
      </c>
      <c r="G577" s="5" t="n">
        <v>1620</v>
      </c>
      <c r="H577" s="2"/>
    </row>
    <row r="578" customFormat="false" ht="15" hidden="false" customHeight="false" outlineLevel="0" collapsed="false">
      <c r="A578" s="2" t="s">
        <v>247</v>
      </c>
      <c r="B578" s="2" t="s">
        <v>124</v>
      </c>
      <c r="C578" s="3" t="n">
        <v>46034</v>
      </c>
      <c r="D578" s="2" t="str">
        <f aca="false">TEXT(C578,"YYYY-MM")</f>
        <v>2026-01</v>
      </c>
      <c r="E578" s="4" t="s">
        <v>85</v>
      </c>
      <c r="F578" s="4" t="s">
        <v>22</v>
      </c>
      <c r="G578" s="5" t="n">
        <v>10945</v>
      </c>
      <c r="H578" s="2"/>
    </row>
    <row r="579" customFormat="false" ht="15" hidden="false" customHeight="false" outlineLevel="0" collapsed="false">
      <c r="A579" s="2" t="s">
        <v>247</v>
      </c>
      <c r="B579" s="2" t="s">
        <v>124</v>
      </c>
      <c r="C579" s="3" t="n">
        <v>46035</v>
      </c>
      <c r="D579" s="2" t="str">
        <f aca="false">TEXT(C579,"YYYY-MM")</f>
        <v>2026-01</v>
      </c>
      <c r="E579" s="4" t="s">
        <v>250</v>
      </c>
      <c r="F579" s="4" t="s">
        <v>105</v>
      </c>
      <c r="G579" s="5" t="n">
        <v>660</v>
      </c>
      <c r="H579" s="2"/>
    </row>
    <row r="580" customFormat="false" ht="15" hidden="false" customHeight="false" outlineLevel="0" collapsed="false">
      <c r="A580" s="2" t="s">
        <v>247</v>
      </c>
      <c r="B580" s="2" t="s">
        <v>124</v>
      </c>
      <c r="C580" s="3" t="n">
        <v>46036</v>
      </c>
      <c r="D580" s="2" t="str">
        <f aca="false">TEXT(C580,"YYYY-MM")</f>
        <v>2026-01</v>
      </c>
      <c r="E580" s="2" t="s">
        <v>248</v>
      </c>
      <c r="F580" s="4" t="s">
        <v>37</v>
      </c>
      <c r="G580" s="5" t="n">
        <v>3113</v>
      </c>
      <c r="H580" s="2"/>
    </row>
    <row r="581" customFormat="false" ht="15" hidden="false" customHeight="false" outlineLevel="0" collapsed="false">
      <c r="A581" s="2" t="s">
        <v>247</v>
      </c>
      <c r="B581" s="2" t="s">
        <v>124</v>
      </c>
      <c r="C581" s="3" t="n">
        <v>46036</v>
      </c>
      <c r="D581" s="2" t="str">
        <f aca="false">TEXT(C581,"YYYY-MM")</f>
        <v>2026-01</v>
      </c>
      <c r="E581" s="4" t="s">
        <v>128</v>
      </c>
      <c r="F581" s="4" t="s">
        <v>22</v>
      </c>
      <c r="G581" s="5" t="n">
        <v>1680</v>
      </c>
      <c r="H581" s="2"/>
    </row>
    <row r="582" customFormat="false" ht="15" hidden="false" customHeight="false" outlineLevel="0" collapsed="false">
      <c r="A582" s="2" t="s">
        <v>247</v>
      </c>
      <c r="B582" s="2" t="s">
        <v>124</v>
      </c>
      <c r="C582" s="3" t="n">
        <v>46036</v>
      </c>
      <c r="D582" s="2" t="str">
        <f aca="false">TEXT(C582,"YYYY-MM")</f>
        <v>2026-01</v>
      </c>
      <c r="E582" s="4" t="s">
        <v>128</v>
      </c>
      <c r="F582" s="4" t="s">
        <v>22</v>
      </c>
      <c r="G582" s="5" t="n">
        <v>780</v>
      </c>
      <c r="H582" s="2"/>
    </row>
    <row r="583" customFormat="false" ht="15" hidden="false" customHeight="false" outlineLevel="0" collapsed="false">
      <c r="A583" s="2" t="s">
        <v>247</v>
      </c>
      <c r="B583" s="2" t="s">
        <v>124</v>
      </c>
      <c r="C583" s="3" t="n">
        <v>46037</v>
      </c>
      <c r="D583" s="2" t="str">
        <f aca="false">TEXT(C583,"YYYY-MM")</f>
        <v>2026-01</v>
      </c>
      <c r="E583" s="4" t="s">
        <v>129</v>
      </c>
      <c r="F583" s="4" t="s">
        <v>105</v>
      </c>
      <c r="G583" s="5" t="n">
        <v>752</v>
      </c>
      <c r="H583" s="2"/>
    </row>
    <row r="584" customFormat="false" ht="15" hidden="false" customHeight="false" outlineLevel="0" collapsed="false">
      <c r="A584" s="2" t="s">
        <v>247</v>
      </c>
      <c r="B584" s="2" t="s">
        <v>124</v>
      </c>
      <c r="C584" s="3" t="n">
        <v>46037</v>
      </c>
      <c r="D584" s="2" t="str">
        <f aca="false">TEXT(C584,"YYYY-MM")</f>
        <v>2026-01</v>
      </c>
      <c r="E584" s="2" t="s">
        <v>251</v>
      </c>
      <c r="F584" s="4" t="s">
        <v>37</v>
      </c>
      <c r="G584" s="5" t="n">
        <v>12999</v>
      </c>
      <c r="H584" s="4" t="s">
        <v>252</v>
      </c>
    </row>
    <row r="585" customFormat="false" ht="15" hidden="false" customHeight="false" outlineLevel="0" collapsed="false">
      <c r="A585" s="2" t="s">
        <v>247</v>
      </c>
      <c r="B585" s="2" t="s">
        <v>124</v>
      </c>
      <c r="C585" s="3" t="n">
        <v>46037</v>
      </c>
      <c r="D585" s="2" t="str">
        <f aca="false">TEXT(C585,"YYYY-MM")</f>
        <v>2026-01</v>
      </c>
      <c r="E585" s="2" t="s">
        <v>253</v>
      </c>
      <c r="F585" s="4" t="s">
        <v>37</v>
      </c>
      <c r="G585" s="5" t="n">
        <v>180150</v>
      </c>
      <c r="H585" s="4" t="s">
        <v>254</v>
      </c>
    </row>
    <row r="586" customFormat="false" ht="15" hidden="false" customHeight="false" outlineLevel="0" collapsed="false">
      <c r="A586" s="2" t="s">
        <v>247</v>
      </c>
      <c r="B586" s="2" t="s">
        <v>124</v>
      </c>
      <c r="C586" s="3" t="n">
        <v>46037</v>
      </c>
      <c r="D586" s="2" t="str">
        <f aca="false">TEXT(C586,"YYYY-MM")</f>
        <v>2026-01</v>
      </c>
      <c r="E586" s="4" t="s">
        <v>255</v>
      </c>
      <c r="F586" s="4" t="s">
        <v>87</v>
      </c>
      <c r="G586" s="5" t="n">
        <v>96800</v>
      </c>
      <c r="H586" s="2" t="s">
        <v>256</v>
      </c>
    </row>
    <row r="587" customFormat="false" ht="15" hidden="false" customHeight="false" outlineLevel="0" collapsed="false">
      <c r="A587" s="2" t="s">
        <v>247</v>
      </c>
      <c r="B587" s="2" t="s">
        <v>140</v>
      </c>
      <c r="C587" s="3" t="n">
        <v>46036</v>
      </c>
      <c r="D587" s="2" t="str">
        <f aca="false">TEXT(C587,"YYYY-MM")</f>
        <v>2026-01</v>
      </c>
      <c r="E587" s="2" t="s">
        <v>257</v>
      </c>
      <c r="F587" s="4" t="s">
        <v>37</v>
      </c>
      <c r="G587" s="5" t="n">
        <v>143200</v>
      </c>
      <c r="H587" s="4" t="s">
        <v>90</v>
      </c>
    </row>
    <row r="588" customFormat="false" ht="15" hidden="false" customHeight="false" outlineLevel="0" collapsed="false">
      <c r="A588" s="2" t="s">
        <v>247</v>
      </c>
      <c r="B588" s="2" t="s">
        <v>140</v>
      </c>
      <c r="C588" s="3" t="n">
        <v>46038</v>
      </c>
      <c r="D588" s="2" t="str">
        <f aca="false">TEXT(C588,"YYYY-MM")</f>
        <v>2026-01</v>
      </c>
      <c r="E588" s="4" t="s">
        <v>258</v>
      </c>
      <c r="F588" s="4" t="s">
        <v>13</v>
      </c>
      <c r="G588" s="5" t="n">
        <v>1000</v>
      </c>
      <c r="H588" s="4" t="s">
        <v>74</v>
      </c>
    </row>
    <row r="589" customFormat="false" ht="15" hidden="false" customHeight="false" outlineLevel="0" collapsed="false">
      <c r="A589" s="2" t="s">
        <v>247</v>
      </c>
      <c r="B589" s="2" t="s">
        <v>140</v>
      </c>
      <c r="C589" s="3" t="n">
        <v>46038</v>
      </c>
      <c r="D589" s="2" t="str">
        <f aca="false">TEXT(C589,"YYYY-MM")</f>
        <v>2026-01</v>
      </c>
      <c r="E589" s="4" t="s">
        <v>259</v>
      </c>
      <c r="F589" s="4" t="s">
        <v>22</v>
      </c>
      <c r="G589" s="5" t="n">
        <v>800</v>
      </c>
      <c r="H589" s="4" t="s">
        <v>42</v>
      </c>
    </row>
    <row r="590" customFormat="false" ht="15" hidden="false" customHeight="false" outlineLevel="0" collapsed="false">
      <c r="A590" s="2" t="s">
        <v>247</v>
      </c>
      <c r="B590" s="2" t="s">
        <v>140</v>
      </c>
      <c r="C590" s="3" t="n">
        <v>46039</v>
      </c>
      <c r="D590" s="2" t="str">
        <f aca="false">TEXT(C590,"YYYY-MM")</f>
        <v>2026-01</v>
      </c>
      <c r="E590" s="4" t="s">
        <v>260</v>
      </c>
      <c r="F590" s="4" t="s">
        <v>22</v>
      </c>
      <c r="G590" s="5" t="n">
        <v>1540</v>
      </c>
      <c r="H590" s="2"/>
    </row>
    <row r="591" customFormat="false" ht="15" hidden="false" customHeight="false" outlineLevel="0" collapsed="false">
      <c r="A591" s="2" t="s">
        <v>247</v>
      </c>
      <c r="B591" s="2" t="s">
        <v>140</v>
      </c>
      <c r="C591" s="3" t="n">
        <v>46040</v>
      </c>
      <c r="D591" s="2" t="str">
        <f aca="false">TEXT(C591,"YYYY-MM")</f>
        <v>2026-01</v>
      </c>
      <c r="E591" s="4" t="s">
        <v>261</v>
      </c>
      <c r="F591" s="4" t="s">
        <v>22</v>
      </c>
      <c r="G591" s="5" t="n">
        <v>4570</v>
      </c>
      <c r="H591" s="4" t="s">
        <v>42</v>
      </c>
    </row>
    <row r="592" customFormat="false" ht="15" hidden="false" customHeight="false" outlineLevel="0" collapsed="false">
      <c r="A592" s="2" t="s">
        <v>247</v>
      </c>
      <c r="B592" s="2" t="s">
        <v>140</v>
      </c>
      <c r="C592" s="3" t="n">
        <v>46040</v>
      </c>
      <c r="D592" s="2" t="str">
        <f aca="false">TEXT(C592,"YYYY-MM")</f>
        <v>2026-01</v>
      </c>
      <c r="E592" s="4" t="s">
        <v>262</v>
      </c>
      <c r="F592" s="4" t="s">
        <v>17</v>
      </c>
      <c r="G592" s="5" t="n">
        <v>4400</v>
      </c>
      <c r="H592" s="4" t="s">
        <v>18</v>
      </c>
    </row>
    <row r="593" customFormat="false" ht="15" hidden="false" customHeight="false" outlineLevel="0" collapsed="false">
      <c r="A593" s="2" t="s">
        <v>247</v>
      </c>
      <c r="B593" s="2" t="s">
        <v>140</v>
      </c>
      <c r="C593" s="3" t="n">
        <v>46041</v>
      </c>
      <c r="D593" s="2" t="str">
        <f aca="false">TEXT(C593,"YYYY-MM")</f>
        <v>2026-01</v>
      </c>
      <c r="E593" s="4" t="s">
        <v>64</v>
      </c>
      <c r="F593" s="4" t="s">
        <v>62</v>
      </c>
      <c r="G593" s="5" t="n">
        <v>488200</v>
      </c>
      <c r="H593" s="2"/>
    </row>
    <row r="594" customFormat="false" ht="15" hidden="false" customHeight="false" outlineLevel="0" collapsed="false">
      <c r="A594" s="2" t="s">
        <v>247</v>
      </c>
      <c r="B594" s="2" t="s">
        <v>140</v>
      </c>
      <c r="C594" s="3" t="n">
        <v>46041</v>
      </c>
      <c r="D594" s="2" t="str">
        <f aca="false">TEXT(C594,"YYYY-MM")</f>
        <v>2026-01</v>
      </c>
      <c r="E594" s="4" t="s">
        <v>61</v>
      </c>
      <c r="F594" s="4" t="s">
        <v>62</v>
      </c>
      <c r="G594" s="5" t="n">
        <v>4000</v>
      </c>
      <c r="H594" s="4" t="s">
        <v>63</v>
      </c>
    </row>
    <row r="595" customFormat="false" ht="15" hidden="false" customHeight="false" outlineLevel="0" collapsed="false">
      <c r="A595" s="2" t="s">
        <v>247</v>
      </c>
      <c r="B595" s="2" t="s">
        <v>140</v>
      </c>
      <c r="C595" s="3" t="n">
        <v>46041</v>
      </c>
      <c r="D595" s="2" t="str">
        <f aca="false">TEXT(C595,"YYYY-MM")</f>
        <v>2026-01</v>
      </c>
      <c r="E595" s="4" t="s">
        <v>123</v>
      </c>
      <c r="F595" s="4" t="s">
        <v>105</v>
      </c>
      <c r="G595" s="5" t="n">
        <v>749</v>
      </c>
      <c r="H595" s="2"/>
    </row>
    <row r="596" customFormat="false" ht="15" hidden="false" customHeight="false" outlineLevel="0" collapsed="false">
      <c r="A596" s="2" t="s">
        <v>247</v>
      </c>
      <c r="B596" s="2" t="s">
        <v>140</v>
      </c>
      <c r="C596" s="3" t="n">
        <v>46041</v>
      </c>
      <c r="D596" s="2" t="str">
        <f aca="false">TEXT(C596,"YYYY-MM")</f>
        <v>2026-01</v>
      </c>
      <c r="E596" s="2" t="s">
        <v>248</v>
      </c>
      <c r="F596" s="4" t="s">
        <v>37</v>
      </c>
      <c r="G596" s="5" t="n">
        <v>118000</v>
      </c>
      <c r="H596" s="2"/>
    </row>
    <row r="597" customFormat="false" ht="15" hidden="false" customHeight="false" outlineLevel="0" collapsed="false">
      <c r="A597" s="2" t="s">
        <v>247</v>
      </c>
      <c r="B597" s="2" t="s">
        <v>140</v>
      </c>
      <c r="C597" s="3" t="n">
        <v>46041</v>
      </c>
      <c r="D597" s="2" t="str">
        <f aca="false">TEXT(C597,"YYYY-MM")</f>
        <v>2026-01</v>
      </c>
      <c r="E597" s="4" t="s">
        <v>128</v>
      </c>
      <c r="F597" s="4" t="s">
        <v>22</v>
      </c>
      <c r="G597" s="5" t="n">
        <v>1380</v>
      </c>
      <c r="H597" s="2"/>
    </row>
    <row r="598" customFormat="false" ht="15" hidden="false" customHeight="false" outlineLevel="0" collapsed="false">
      <c r="A598" s="2" t="s">
        <v>247</v>
      </c>
      <c r="B598" s="2" t="s">
        <v>140</v>
      </c>
      <c r="C598" s="3" t="n">
        <v>46041</v>
      </c>
      <c r="D598" s="2" t="str">
        <f aca="false">TEXT(C598,"YYYY-MM")</f>
        <v>2026-01</v>
      </c>
      <c r="E598" s="4" t="s">
        <v>219</v>
      </c>
      <c r="F598" s="4" t="s">
        <v>37</v>
      </c>
      <c r="G598" s="5" t="n">
        <v>3778</v>
      </c>
      <c r="H598" s="2"/>
    </row>
    <row r="599" customFormat="false" ht="15" hidden="false" customHeight="false" outlineLevel="0" collapsed="false">
      <c r="A599" s="2" t="s">
        <v>247</v>
      </c>
      <c r="B599" s="2" t="s">
        <v>140</v>
      </c>
      <c r="C599" s="3" t="n">
        <v>46041</v>
      </c>
      <c r="D599" s="2" t="str">
        <f aca="false">TEXT(C599,"YYYY-MM")</f>
        <v>2026-01</v>
      </c>
      <c r="E599" s="2" t="s">
        <v>263</v>
      </c>
      <c r="F599" s="4" t="s">
        <v>37</v>
      </c>
      <c r="G599" s="5" t="n">
        <v>286000</v>
      </c>
      <c r="H599" s="4" t="s">
        <v>254</v>
      </c>
    </row>
    <row r="600" customFormat="false" ht="15" hidden="false" customHeight="false" outlineLevel="0" collapsed="false">
      <c r="A600" s="2" t="s">
        <v>247</v>
      </c>
      <c r="B600" s="2" t="s">
        <v>140</v>
      </c>
      <c r="C600" s="3" t="n">
        <v>46041</v>
      </c>
      <c r="D600" s="2" t="str">
        <f aca="false">TEXT(C600,"YYYY-MM")</f>
        <v>2026-01</v>
      </c>
      <c r="E600" s="2" t="s">
        <v>264</v>
      </c>
      <c r="F600" s="4" t="s">
        <v>37</v>
      </c>
      <c r="G600" s="5" t="n">
        <v>79990</v>
      </c>
      <c r="H600" s="4" t="s">
        <v>254</v>
      </c>
    </row>
    <row r="601" customFormat="false" ht="15" hidden="false" customHeight="false" outlineLevel="0" collapsed="false">
      <c r="A601" s="2" t="s">
        <v>247</v>
      </c>
      <c r="B601" s="2" t="s">
        <v>140</v>
      </c>
      <c r="C601" s="3" t="n">
        <v>46041</v>
      </c>
      <c r="D601" s="2" t="str">
        <f aca="false">TEXT(C601,"YYYY-MM")</f>
        <v>2026-01</v>
      </c>
      <c r="E601" s="4" t="s">
        <v>129</v>
      </c>
      <c r="F601" s="4" t="s">
        <v>105</v>
      </c>
      <c r="G601" s="5" t="n">
        <v>580</v>
      </c>
      <c r="H601" s="2"/>
    </row>
    <row r="602" customFormat="false" ht="15" hidden="false" customHeight="false" outlineLevel="0" collapsed="false">
      <c r="A602" s="2" t="s">
        <v>247</v>
      </c>
      <c r="B602" s="2" t="s">
        <v>140</v>
      </c>
      <c r="C602" s="3" t="n">
        <v>46042</v>
      </c>
      <c r="D602" s="2" t="str">
        <f aca="false">TEXT(C602,"YYYY-MM")</f>
        <v>2026-01</v>
      </c>
      <c r="E602" s="4" t="s">
        <v>265</v>
      </c>
      <c r="F602" s="4" t="s">
        <v>15</v>
      </c>
      <c r="G602" s="5" t="n">
        <v>1900</v>
      </c>
      <c r="H602" s="4" t="s">
        <v>266</v>
      </c>
    </row>
    <row r="603" customFormat="false" ht="15" hidden="false" customHeight="false" outlineLevel="0" collapsed="false">
      <c r="A603" s="2" t="s">
        <v>247</v>
      </c>
      <c r="B603" s="2" t="s">
        <v>140</v>
      </c>
      <c r="C603" s="3" t="n">
        <v>46042</v>
      </c>
      <c r="D603" s="2" t="str">
        <f aca="false">TEXT(C603,"YYYY-MM")</f>
        <v>2026-01</v>
      </c>
      <c r="E603" s="4" t="s">
        <v>265</v>
      </c>
      <c r="F603" s="4" t="s">
        <v>15</v>
      </c>
      <c r="G603" s="5" t="n">
        <v>5700</v>
      </c>
      <c r="H603" s="4" t="s">
        <v>266</v>
      </c>
    </row>
    <row r="604" customFormat="false" ht="15" hidden="false" customHeight="false" outlineLevel="0" collapsed="false">
      <c r="A604" s="2" t="s">
        <v>247</v>
      </c>
      <c r="B604" s="2" t="s">
        <v>140</v>
      </c>
      <c r="C604" s="3" t="n">
        <v>46042</v>
      </c>
      <c r="D604" s="2" t="str">
        <f aca="false">TEXT(C604,"YYYY-MM")</f>
        <v>2026-01</v>
      </c>
      <c r="E604" s="4" t="s">
        <v>250</v>
      </c>
      <c r="F604" s="4" t="s">
        <v>105</v>
      </c>
      <c r="G604" s="5" t="n">
        <v>782</v>
      </c>
      <c r="H604" s="2"/>
    </row>
    <row r="605" customFormat="false" ht="15" hidden="false" customHeight="false" outlineLevel="0" collapsed="false">
      <c r="A605" s="2" t="s">
        <v>247</v>
      </c>
      <c r="B605" s="2" t="s">
        <v>140</v>
      </c>
      <c r="C605" s="3" t="n">
        <v>46042</v>
      </c>
      <c r="D605" s="2" t="str">
        <f aca="false">TEXT(C605,"YYYY-MM")</f>
        <v>2026-01</v>
      </c>
      <c r="E605" s="4" t="s">
        <v>267</v>
      </c>
      <c r="F605" s="4" t="s">
        <v>13</v>
      </c>
      <c r="G605" s="5" t="n">
        <v>500</v>
      </c>
      <c r="H605" s="4" t="s">
        <v>74</v>
      </c>
    </row>
    <row r="606" customFormat="false" ht="15" hidden="false" customHeight="false" outlineLevel="0" collapsed="false">
      <c r="A606" s="2" t="s">
        <v>247</v>
      </c>
      <c r="B606" s="2" t="s">
        <v>140</v>
      </c>
      <c r="C606" s="3" t="n">
        <v>46042</v>
      </c>
      <c r="D606" s="2" t="str">
        <f aca="false">TEXT(C606,"YYYY-MM")</f>
        <v>2026-01</v>
      </c>
      <c r="E606" s="4" t="s">
        <v>56</v>
      </c>
      <c r="F606" s="4" t="s">
        <v>22</v>
      </c>
      <c r="G606" s="5" t="n">
        <v>501</v>
      </c>
      <c r="H606" s="4" t="s">
        <v>42</v>
      </c>
    </row>
    <row r="607" customFormat="false" ht="15" hidden="false" customHeight="false" outlineLevel="0" collapsed="false">
      <c r="A607" s="2" t="s">
        <v>247</v>
      </c>
      <c r="B607" s="2" t="s">
        <v>140</v>
      </c>
      <c r="C607" s="3" t="n">
        <v>46042</v>
      </c>
      <c r="D607" s="2" t="str">
        <f aca="false">TEXT(C607,"YYYY-MM")</f>
        <v>2026-01</v>
      </c>
      <c r="E607" s="2" t="s">
        <v>264</v>
      </c>
      <c r="F607" s="4" t="s">
        <v>37</v>
      </c>
      <c r="G607" s="5" t="n">
        <v>324970</v>
      </c>
      <c r="H607" s="4" t="s">
        <v>254</v>
      </c>
    </row>
    <row r="608" customFormat="false" ht="15" hidden="false" customHeight="false" outlineLevel="0" collapsed="false">
      <c r="A608" s="2" t="s">
        <v>247</v>
      </c>
      <c r="B608" s="2" t="s">
        <v>140</v>
      </c>
      <c r="C608" s="3" t="n">
        <v>46042</v>
      </c>
      <c r="D608" s="2" t="str">
        <f aca="false">TEXT(C608,"YYYY-MM")</f>
        <v>2026-01</v>
      </c>
      <c r="E608" s="4" t="s">
        <v>268</v>
      </c>
      <c r="F608" s="4" t="s">
        <v>105</v>
      </c>
      <c r="G608" s="5" t="n">
        <v>534</v>
      </c>
      <c r="H608" s="2"/>
    </row>
    <row r="609" customFormat="false" ht="15" hidden="false" customHeight="false" outlineLevel="0" collapsed="false">
      <c r="A609" s="2" t="s">
        <v>247</v>
      </c>
      <c r="B609" s="2" t="s">
        <v>140</v>
      </c>
      <c r="C609" s="3" t="n">
        <v>46042</v>
      </c>
      <c r="D609" s="2" t="str">
        <f aca="false">TEXT(C609,"YYYY-MM")</f>
        <v>2026-01</v>
      </c>
      <c r="E609" s="2" t="s">
        <v>269</v>
      </c>
      <c r="F609" s="4" t="s">
        <v>17</v>
      </c>
      <c r="G609" s="5" t="n">
        <v>5091</v>
      </c>
      <c r="H609" s="4" t="s">
        <v>30</v>
      </c>
    </row>
    <row r="610" customFormat="false" ht="15" hidden="false" customHeight="false" outlineLevel="0" collapsed="false">
      <c r="A610" s="2" t="s">
        <v>247</v>
      </c>
      <c r="B610" s="2" t="s">
        <v>140</v>
      </c>
      <c r="C610" s="3" t="n">
        <v>46042</v>
      </c>
      <c r="D610" s="2" t="str">
        <f aca="false">TEXT(C610,"YYYY-MM")</f>
        <v>2026-01</v>
      </c>
      <c r="E610" s="4" t="s">
        <v>38</v>
      </c>
      <c r="F610" s="4" t="s">
        <v>22</v>
      </c>
      <c r="G610" s="5" t="n">
        <v>1580</v>
      </c>
      <c r="H610" s="2"/>
    </row>
    <row r="611" customFormat="false" ht="15" hidden="false" customHeight="false" outlineLevel="0" collapsed="false">
      <c r="A611" s="2" t="s">
        <v>247</v>
      </c>
      <c r="B611" s="2" t="s">
        <v>140</v>
      </c>
      <c r="C611" s="3" t="n">
        <v>46043</v>
      </c>
      <c r="D611" s="2" t="str">
        <f aca="false">TEXT(C611,"YYYY-MM")</f>
        <v>2026-01</v>
      </c>
      <c r="E611" s="4" t="s">
        <v>128</v>
      </c>
      <c r="F611" s="4" t="s">
        <v>22</v>
      </c>
      <c r="G611" s="5" t="n">
        <v>2780</v>
      </c>
      <c r="H611" s="2"/>
    </row>
    <row r="612" customFormat="false" ht="15" hidden="false" customHeight="false" outlineLevel="0" collapsed="false">
      <c r="A612" s="2" t="s">
        <v>247</v>
      </c>
      <c r="B612" s="2" t="s">
        <v>140</v>
      </c>
      <c r="C612" s="3" t="n">
        <v>46043</v>
      </c>
      <c r="D612" s="2" t="str">
        <f aca="false">TEXT(C612,"YYYY-MM")</f>
        <v>2026-01</v>
      </c>
      <c r="E612" s="2" t="s">
        <v>269</v>
      </c>
      <c r="F612" s="4" t="s">
        <v>17</v>
      </c>
      <c r="G612" s="5" t="n">
        <v>68</v>
      </c>
      <c r="H612" s="2"/>
    </row>
    <row r="613" customFormat="false" ht="15" hidden="false" customHeight="false" outlineLevel="0" collapsed="false">
      <c r="A613" s="2" t="s">
        <v>247</v>
      </c>
      <c r="B613" s="2" t="s">
        <v>140</v>
      </c>
      <c r="C613" s="3" t="n">
        <v>46043</v>
      </c>
      <c r="D613" s="2" t="str">
        <f aca="false">TEXT(C613,"YYYY-MM")</f>
        <v>2026-01</v>
      </c>
      <c r="E613" s="4" t="s">
        <v>111</v>
      </c>
      <c r="F613" s="4" t="s">
        <v>58</v>
      </c>
      <c r="G613" s="5" t="n">
        <v>20045</v>
      </c>
      <c r="H613" s="2"/>
    </row>
    <row r="614" customFormat="false" ht="15" hidden="false" customHeight="false" outlineLevel="0" collapsed="false">
      <c r="A614" s="2" t="s">
        <v>247</v>
      </c>
      <c r="B614" s="2" t="s">
        <v>140</v>
      </c>
      <c r="C614" s="3" t="n">
        <v>46043</v>
      </c>
      <c r="D614" s="2" t="str">
        <f aca="false">TEXT(C614,"YYYY-MM")</f>
        <v>2026-01</v>
      </c>
      <c r="E614" s="4" t="s">
        <v>270</v>
      </c>
      <c r="F614" s="4" t="s">
        <v>17</v>
      </c>
      <c r="G614" s="5" t="n">
        <v>15400</v>
      </c>
      <c r="H614" s="4" t="s">
        <v>271</v>
      </c>
    </row>
    <row r="615" customFormat="false" ht="15" hidden="false" customHeight="false" outlineLevel="0" collapsed="false">
      <c r="A615" s="2" t="s">
        <v>247</v>
      </c>
      <c r="B615" s="2" t="s">
        <v>140</v>
      </c>
      <c r="C615" s="3" t="n">
        <v>46044</v>
      </c>
      <c r="D615" s="2" t="str">
        <f aca="false">TEXT(C615,"YYYY-MM")</f>
        <v>2026-01</v>
      </c>
      <c r="E615" s="4" t="s">
        <v>66</v>
      </c>
      <c r="F615" s="4" t="s">
        <v>62</v>
      </c>
      <c r="G615" s="5" t="n">
        <v>451541</v>
      </c>
      <c r="H615" s="2"/>
    </row>
    <row r="616" customFormat="false" ht="15" hidden="false" customHeight="false" outlineLevel="0" collapsed="false">
      <c r="A616" s="2" t="s">
        <v>247</v>
      </c>
      <c r="B616" s="2" t="s">
        <v>140</v>
      </c>
      <c r="C616" s="3" t="n">
        <v>46044</v>
      </c>
      <c r="D616" s="2" t="str">
        <f aca="false">TEXT(C616,"YYYY-MM")</f>
        <v>2026-01</v>
      </c>
      <c r="E616" s="4" t="s">
        <v>128</v>
      </c>
      <c r="F616" s="4" t="s">
        <v>22</v>
      </c>
      <c r="G616" s="5" t="n">
        <v>1860</v>
      </c>
      <c r="H616" s="2"/>
    </row>
    <row r="617" customFormat="false" ht="15" hidden="false" customHeight="false" outlineLevel="0" collapsed="false">
      <c r="A617" s="2" t="s">
        <v>247</v>
      </c>
      <c r="B617" s="2" t="s">
        <v>140</v>
      </c>
      <c r="C617" s="3" t="n">
        <v>46044</v>
      </c>
      <c r="D617" s="2" t="str">
        <f aca="false">TEXT(C617,"YYYY-MM")</f>
        <v>2026-01</v>
      </c>
      <c r="E617" s="4" t="s">
        <v>129</v>
      </c>
      <c r="F617" s="4" t="s">
        <v>105</v>
      </c>
      <c r="G617" s="5" t="n">
        <v>1131</v>
      </c>
      <c r="H617" s="2"/>
    </row>
    <row r="618" customFormat="false" ht="15" hidden="false" customHeight="false" outlineLevel="0" collapsed="false">
      <c r="A618" s="2" t="s">
        <v>247</v>
      </c>
      <c r="B618" s="2" t="s">
        <v>140</v>
      </c>
      <c r="C618" s="3" t="n">
        <v>46044</v>
      </c>
      <c r="D618" s="2" t="str">
        <f aca="false">TEXT(C618,"YYYY-MM")</f>
        <v>2026-01</v>
      </c>
      <c r="E618" s="4" t="s">
        <v>129</v>
      </c>
      <c r="F618" s="4" t="s">
        <v>105</v>
      </c>
      <c r="G618" s="5" t="n">
        <v>149</v>
      </c>
      <c r="H618" s="2"/>
    </row>
    <row r="619" customFormat="false" ht="15" hidden="false" customHeight="false" outlineLevel="0" collapsed="false">
      <c r="A619" s="2" t="s">
        <v>247</v>
      </c>
      <c r="B619" s="2" t="s">
        <v>140</v>
      </c>
      <c r="C619" s="3" t="n">
        <v>46044</v>
      </c>
      <c r="D619" s="2" t="str">
        <f aca="false">TEXT(C619,"YYYY-MM")</f>
        <v>2026-01</v>
      </c>
      <c r="E619" s="4" t="s">
        <v>111</v>
      </c>
      <c r="F619" s="4" t="s">
        <v>58</v>
      </c>
      <c r="G619" s="5" t="n">
        <v>20045</v>
      </c>
      <c r="H619" s="2"/>
    </row>
    <row r="620" customFormat="false" ht="15" hidden="false" customHeight="false" outlineLevel="0" collapsed="false">
      <c r="A620" s="2" t="s">
        <v>247</v>
      </c>
      <c r="B620" s="2" t="s">
        <v>140</v>
      </c>
      <c r="C620" s="3" t="n">
        <v>46045</v>
      </c>
      <c r="D620" s="2" t="str">
        <f aca="false">TEXT(C620,"YYYY-MM")</f>
        <v>2026-01</v>
      </c>
      <c r="E620" s="4" t="s">
        <v>272</v>
      </c>
      <c r="F620" s="4" t="s">
        <v>22</v>
      </c>
      <c r="G620" s="5" t="n">
        <v>930</v>
      </c>
      <c r="H620" s="4" t="s">
        <v>42</v>
      </c>
    </row>
    <row r="621" customFormat="false" ht="15" hidden="false" customHeight="false" outlineLevel="0" collapsed="false">
      <c r="A621" s="2" t="s">
        <v>247</v>
      </c>
      <c r="B621" s="2" t="s">
        <v>140</v>
      </c>
      <c r="C621" s="3" t="n">
        <v>46045</v>
      </c>
      <c r="D621" s="2" t="str">
        <f aca="false">TEXT(C621,"YYYY-MM")</f>
        <v>2026-01</v>
      </c>
      <c r="E621" s="2" t="s">
        <v>273</v>
      </c>
      <c r="F621" s="4" t="s">
        <v>137</v>
      </c>
      <c r="G621" s="5" t="n">
        <v>6600</v>
      </c>
      <c r="H621" s="4" t="s">
        <v>138</v>
      </c>
    </row>
    <row r="622" customFormat="false" ht="15" hidden="false" customHeight="false" outlineLevel="0" collapsed="false">
      <c r="A622" s="2" t="s">
        <v>247</v>
      </c>
      <c r="B622" s="2" t="s">
        <v>140</v>
      </c>
      <c r="C622" s="3" t="n">
        <v>46046</v>
      </c>
      <c r="D622" s="2" t="str">
        <f aca="false">TEXT(C622,"YYYY-MM")</f>
        <v>2026-01</v>
      </c>
      <c r="E622" s="4" t="s">
        <v>155</v>
      </c>
      <c r="F622" s="4" t="s">
        <v>17</v>
      </c>
      <c r="G622" s="5" t="n">
        <v>1540</v>
      </c>
      <c r="H622" s="4" t="s">
        <v>18</v>
      </c>
    </row>
    <row r="623" customFormat="false" ht="15" hidden="false" customHeight="false" outlineLevel="0" collapsed="false">
      <c r="A623" s="2" t="s">
        <v>247</v>
      </c>
      <c r="B623" s="2" t="s">
        <v>140</v>
      </c>
      <c r="C623" s="3" t="n">
        <v>46046</v>
      </c>
      <c r="D623" s="2" t="str">
        <f aca="false">TEXT(C623,"YYYY-MM")</f>
        <v>2026-01</v>
      </c>
      <c r="E623" s="2" t="s">
        <v>274</v>
      </c>
      <c r="F623" s="4" t="s">
        <v>22</v>
      </c>
      <c r="G623" s="5" t="n">
        <v>7900</v>
      </c>
      <c r="H623" s="2"/>
    </row>
    <row r="624" customFormat="false" ht="15" hidden="false" customHeight="false" outlineLevel="0" collapsed="false">
      <c r="A624" s="2" t="s">
        <v>247</v>
      </c>
      <c r="B624" s="2" t="s">
        <v>140</v>
      </c>
      <c r="C624" s="3" t="n">
        <v>46047</v>
      </c>
      <c r="D624" s="2" t="str">
        <f aca="false">TEXT(C624,"YYYY-MM")</f>
        <v>2026-01</v>
      </c>
      <c r="E624" s="4" t="s">
        <v>275</v>
      </c>
      <c r="F624" s="4" t="s">
        <v>22</v>
      </c>
      <c r="G624" s="5" t="n">
        <v>880</v>
      </c>
      <c r="H624" s="4" t="s">
        <v>42</v>
      </c>
    </row>
    <row r="625" customFormat="false" ht="15" hidden="false" customHeight="false" outlineLevel="0" collapsed="false">
      <c r="A625" s="2" t="s">
        <v>247</v>
      </c>
      <c r="B625" s="2" t="s">
        <v>140</v>
      </c>
      <c r="C625" s="3" t="n">
        <v>46047</v>
      </c>
      <c r="D625" s="2" t="str">
        <f aca="false">TEXT(C625,"YYYY-MM")</f>
        <v>2026-01</v>
      </c>
      <c r="E625" s="2" t="s">
        <v>276</v>
      </c>
      <c r="F625" s="4" t="s">
        <v>26</v>
      </c>
      <c r="G625" s="5" t="n">
        <v>1500</v>
      </c>
      <c r="H625" s="2"/>
    </row>
    <row r="626" customFormat="false" ht="15" hidden="false" customHeight="false" outlineLevel="0" collapsed="false">
      <c r="A626" s="2" t="s">
        <v>247</v>
      </c>
      <c r="B626" s="2" t="s">
        <v>140</v>
      </c>
      <c r="C626" s="3" t="n">
        <v>46047</v>
      </c>
      <c r="D626" s="2" t="str">
        <f aca="false">TEXT(C626,"YYYY-MM")</f>
        <v>2026-01</v>
      </c>
      <c r="E626" s="4" t="s">
        <v>277</v>
      </c>
      <c r="F626" s="4" t="s">
        <v>22</v>
      </c>
      <c r="G626" s="5" t="n">
        <v>5082</v>
      </c>
      <c r="H626" s="2"/>
    </row>
    <row r="627" customFormat="false" ht="15" hidden="false" customHeight="false" outlineLevel="0" collapsed="false">
      <c r="A627" s="2" t="s">
        <v>247</v>
      </c>
      <c r="B627" s="2" t="s">
        <v>140</v>
      </c>
      <c r="C627" s="3" t="n">
        <v>46048</v>
      </c>
      <c r="D627" s="2" t="str">
        <f aca="false">TEXT(C627,"YYYY-MM")</f>
        <v>2026-01</v>
      </c>
      <c r="E627" s="4" t="s">
        <v>278</v>
      </c>
      <c r="F627" s="4" t="s">
        <v>22</v>
      </c>
      <c r="G627" s="5" t="n">
        <v>1900</v>
      </c>
      <c r="H627" s="2"/>
    </row>
    <row r="628" customFormat="false" ht="15" hidden="false" customHeight="false" outlineLevel="0" collapsed="false">
      <c r="A628" s="2" t="s">
        <v>247</v>
      </c>
      <c r="B628" s="2" t="s">
        <v>140</v>
      </c>
      <c r="C628" s="3" t="n">
        <v>46049</v>
      </c>
      <c r="D628" s="2" t="str">
        <f aca="false">TEXT(C628,"YYYY-MM")</f>
        <v>2026-01</v>
      </c>
      <c r="E628" s="4" t="s">
        <v>128</v>
      </c>
      <c r="F628" s="4" t="s">
        <v>22</v>
      </c>
      <c r="G628" s="5" t="n">
        <v>2060</v>
      </c>
      <c r="H628" s="2"/>
    </row>
    <row r="629" customFormat="false" ht="15" hidden="false" customHeight="false" outlineLevel="0" collapsed="false">
      <c r="A629" s="2" t="s">
        <v>247</v>
      </c>
      <c r="B629" s="2" t="s">
        <v>140</v>
      </c>
      <c r="C629" s="3" t="n">
        <v>46049</v>
      </c>
      <c r="D629" s="2" t="str">
        <f aca="false">TEXT(C629,"YYYY-MM")</f>
        <v>2026-01</v>
      </c>
      <c r="E629" s="2" t="s">
        <v>279</v>
      </c>
      <c r="F629" s="4" t="s">
        <v>37</v>
      </c>
      <c r="G629" s="5" t="n">
        <v>11000</v>
      </c>
      <c r="H629" s="4" t="s">
        <v>254</v>
      </c>
    </row>
    <row r="630" customFormat="false" ht="15" hidden="false" customHeight="false" outlineLevel="0" collapsed="false">
      <c r="A630" s="2" t="s">
        <v>247</v>
      </c>
      <c r="B630" s="2" t="s">
        <v>140</v>
      </c>
      <c r="C630" s="3" t="n">
        <v>46049</v>
      </c>
      <c r="D630" s="2" t="str">
        <f aca="false">TEXT(C630,"YYYY-MM")</f>
        <v>2026-01</v>
      </c>
      <c r="E630" s="2" t="s">
        <v>280</v>
      </c>
      <c r="F630" s="4" t="s">
        <v>37</v>
      </c>
      <c r="G630" s="5" t="n">
        <v>11880</v>
      </c>
      <c r="H630" s="2"/>
    </row>
    <row r="631" customFormat="false" ht="15" hidden="false" customHeight="false" outlineLevel="0" collapsed="false">
      <c r="A631" s="2" t="s">
        <v>247</v>
      </c>
      <c r="B631" s="2" t="s">
        <v>140</v>
      </c>
      <c r="C631" s="3" t="n">
        <v>46050</v>
      </c>
      <c r="D631" s="2" t="str">
        <f aca="false">TEXT(C631,"YYYY-MM")</f>
        <v>2026-01</v>
      </c>
      <c r="E631" s="2" t="s">
        <v>248</v>
      </c>
      <c r="F631" s="4" t="s">
        <v>37</v>
      </c>
      <c r="G631" s="5" t="n">
        <v>1439</v>
      </c>
      <c r="H631" s="2"/>
    </row>
    <row r="632" customFormat="false" ht="15" hidden="false" customHeight="false" outlineLevel="0" collapsed="false">
      <c r="A632" s="2" t="s">
        <v>247</v>
      </c>
      <c r="B632" s="2" t="s">
        <v>140</v>
      </c>
      <c r="C632" s="3" t="n">
        <v>46050</v>
      </c>
      <c r="D632" s="2" t="str">
        <f aca="false">TEXT(C632,"YYYY-MM")</f>
        <v>2026-01</v>
      </c>
      <c r="E632" s="2" t="s">
        <v>248</v>
      </c>
      <c r="F632" s="4" t="s">
        <v>37</v>
      </c>
      <c r="G632" s="5" t="n">
        <v>3997</v>
      </c>
      <c r="H632" s="2"/>
    </row>
    <row r="633" customFormat="false" ht="15" hidden="false" customHeight="false" outlineLevel="0" collapsed="false">
      <c r="A633" s="2" t="s">
        <v>247</v>
      </c>
      <c r="B633" s="2" t="s">
        <v>140</v>
      </c>
      <c r="C633" s="3" t="n">
        <v>46050</v>
      </c>
      <c r="D633" s="2" t="str">
        <f aca="false">TEXT(C633,"YYYY-MM")</f>
        <v>2026-01</v>
      </c>
      <c r="E633" s="2" t="s">
        <v>248</v>
      </c>
      <c r="F633" s="4" t="s">
        <v>37</v>
      </c>
      <c r="G633" s="5" t="n">
        <v>1500</v>
      </c>
      <c r="H633" s="2"/>
    </row>
    <row r="634" customFormat="false" ht="15" hidden="false" customHeight="false" outlineLevel="0" collapsed="false">
      <c r="A634" s="2" t="s">
        <v>247</v>
      </c>
      <c r="B634" s="2" t="s">
        <v>140</v>
      </c>
      <c r="C634" s="3" t="n">
        <v>46050</v>
      </c>
      <c r="D634" s="2" t="str">
        <f aca="false">TEXT(C634,"YYYY-MM")</f>
        <v>2026-01</v>
      </c>
      <c r="E634" s="2" t="s">
        <v>248</v>
      </c>
      <c r="F634" s="4" t="s">
        <v>37</v>
      </c>
      <c r="G634" s="5" t="n">
        <v>2990</v>
      </c>
      <c r="H634" s="2"/>
    </row>
    <row r="635" customFormat="false" ht="15" hidden="false" customHeight="false" outlineLevel="0" collapsed="false">
      <c r="A635" s="2" t="s">
        <v>247</v>
      </c>
      <c r="B635" s="2" t="s">
        <v>140</v>
      </c>
      <c r="C635" s="3" t="n">
        <v>46050</v>
      </c>
      <c r="D635" s="2" t="str">
        <f aca="false">TEXT(C635,"YYYY-MM")</f>
        <v>2026-01</v>
      </c>
      <c r="E635" s="2" t="s">
        <v>248</v>
      </c>
      <c r="F635" s="4" t="s">
        <v>37</v>
      </c>
      <c r="G635" s="5" t="n">
        <v>5955</v>
      </c>
      <c r="H635" s="2"/>
    </row>
    <row r="636" customFormat="false" ht="15" hidden="false" customHeight="false" outlineLevel="0" collapsed="false">
      <c r="A636" s="2" t="s">
        <v>247</v>
      </c>
      <c r="B636" s="2" t="s">
        <v>140</v>
      </c>
      <c r="C636" s="3" t="n">
        <v>46050</v>
      </c>
      <c r="D636" s="2" t="str">
        <f aca="false">TEXT(C636,"YYYY-MM")</f>
        <v>2026-01</v>
      </c>
      <c r="E636" s="2" t="s">
        <v>248</v>
      </c>
      <c r="F636" s="4" t="s">
        <v>37</v>
      </c>
      <c r="G636" s="5" t="n">
        <v>2690</v>
      </c>
      <c r="H636" s="2"/>
    </row>
    <row r="637" customFormat="false" ht="15" hidden="false" customHeight="false" outlineLevel="0" collapsed="false">
      <c r="A637" s="2" t="s">
        <v>247</v>
      </c>
      <c r="B637" s="2" t="s">
        <v>140</v>
      </c>
      <c r="C637" s="3" t="n">
        <v>46050</v>
      </c>
      <c r="D637" s="2" t="str">
        <f aca="false">TEXT(C637,"YYYY-MM")</f>
        <v>2026-01</v>
      </c>
      <c r="E637" s="2" t="s">
        <v>248</v>
      </c>
      <c r="F637" s="4" t="s">
        <v>37</v>
      </c>
      <c r="G637" s="5" t="n">
        <v>1580</v>
      </c>
      <c r="H637" s="2"/>
    </row>
    <row r="638" customFormat="false" ht="15" hidden="false" customHeight="false" outlineLevel="0" collapsed="false">
      <c r="A638" s="2" t="s">
        <v>247</v>
      </c>
      <c r="B638" s="2" t="s">
        <v>140</v>
      </c>
      <c r="C638" s="3" t="n">
        <v>46050</v>
      </c>
      <c r="D638" s="2" t="str">
        <f aca="false">TEXT(C638,"YYYY-MM")</f>
        <v>2026-01</v>
      </c>
      <c r="E638" s="2" t="s">
        <v>248</v>
      </c>
      <c r="F638" s="4" t="s">
        <v>37</v>
      </c>
      <c r="G638" s="5" t="n">
        <v>8610</v>
      </c>
      <c r="H638" s="2"/>
    </row>
    <row r="639" customFormat="false" ht="15" hidden="false" customHeight="false" outlineLevel="0" collapsed="false">
      <c r="A639" s="2" t="s">
        <v>247</v>
      </c>
      <c r="B639" s="2" t="s">
        <v>140</v>
      </c>
      <c r="C639" s="3" t="n">
        <v>46050</v>
      </c>
      <c r="D639" s="2" t="str">
        <f aca="false">TEXT(C639,"YYYY-MM")</f>
        <v>2026-01</v>
      </c>
      <c r="E639" s="2" t="s">
        <v>281</v>
      </c>
      <c r="F639" s="4" t="s">
        <v>37</v>
      </c>
      <c r="G639" s="5" t="n">
        <v>-1439</v>
      </c>
      <c r="H639" s="4" t="s">
        <v>282</v>
      </c>
    </row>
    <row r="640" customFormat="false" ht="15" hidden="false" customHeight="false" outlineLevel="0" collapsed="false">
      <c r="A640" s="2" t="s">
        <v>247</v>
      </c>
      <c r="B640" s="2" t="s">
        <v>140</v>
      </c>
      <c r="C640" s="3" t="n">
        <v>46051</v>
      </c>
      <c r="D640" s="2" t="str">
        <f aca="false">TEXT(C640,"YYYY-MM")</f>
        <v>2026-01</v>
      </c>
      <c r="E640" s="2" t="s">
        <v>248</v>
      </c>
      <c r="F640" s="4" t="s">
        <v>37</v>
      </c>
      <c r="G640" s="5" t="n">
        <v>209800</v>
      </c>
      <c r="H640" s="4" t="s">
        <v>283</v>
      </c>
    </row>
    <row r="641" customFormat="false" ht="15" hidden="false" customHeight="false" outlineLevel="0" collapsed="false">
      <c r="A641" s="2" t="s">
        <v>247</v>
      </c>
      <c r="B641" s="2" t="s">
        <v>140</v>
      </c>
      <c r="C641" s="3" t="n">
        <v>46051</v>
      </c>
      <c r="D641" s="2" t="str">
        <f aca="false">TEXT(C641,"YYYY-MM")</f>
        <v>2026-01</v>
      </c>
      <c r="E641" s="2" t="s">
        <v>248</v>
      </c>
      <c r="F641" s="4" t="s">
        <v>37</v>
      </c>
      <c r="G641" s="5" t="n">
        <v>1100</v>
      </c>
      <c r="H641" s="2"/>
    </row>
    <row r="642" customFormat="false" ht="15" hidden="false" customHeight="false" outlineLevel="0" collapsed="false">
      <c r="A642" s="2" t="s">
        <v>247</v>
      </c>
      <c r="B642" s="2" t="s">
        <v>140</v>
      </c>
      <c r="C642" s="3" t="n">
        <v>46051</v>
      </c>
      <c r="D642" s="2" t="str">
        <f aca="false">TEXT(C642,"YYYY-MM")</f>
        <v>2026-01</v>
      </c>
      <c r="E642" s="2" t="s">
        <v>284</v>
      </c>
      <c r="F642" s="4" t="s">
        <v>37</v>
      </c>
      <c r="G642" s="5" t="n">
        <v>14860</v>
      </c>
      <c r="H642" s="4" t="s">
        <v>254</v>
      </c>
    </row>
    <row r="643" customFormat="false" ht="15" hidden="false" customHeight="false" outlineLevel="0" collapsed="false">
      <c r="A643" s="2" t="s">
        <v>247</v>
      </c>
      <c r="B643" s="2" t="s">
        <v>140</v>
      </c>
      <c r="C643" s="3" t="n">
        <v>46053</v>
      </c>
      <c r="D643" s="2" t="str">
        <f aca="false">TEXT(C643,"YYYY-MM")</f>
        <v>2026-01</v>
      </c>
      <c r="E643" s="2" t="s">
        <v>281</v>
      </c>
      <c r="F643" s="4" t="s">
        <v>37</v>
      </c>
      <c r="G643" s="5" t="n">
        <v>-209800</v>
      </c>
      <c r="H643" s="4" t="s">
        <v>282</v>
      </c>
    </row>
    <row r="644" customFormat="false" ht="15" hidden="false" customHeight="false" outlineLevel="0" collapsed="false">
      <c r="A644" s="2" t="s">
        <v>247</v>
      </c>
      <c r="B644" s="2" t="s">
        <v>140</v>
      </c>
      <c r="C644" s="3" t="n">
        <v>46055</v>
      </c>
      <c r="D644" s="2" t="str">
        <f aca="false">TEXT(C644,"YYYY-MM")</f>
        <v>2026-02</v>
      </c>
      <c r="E644" s="4" t="s">
        <v>128</v>
      </c>
      <c r="F644" s="4" t="s">
        <v>22</v>
      </c>
      <c r="G644" s="5" t="n">
        <v>1380</v>
      </c>
      <c r="H644" s="2"/>
    </row>
    <row r="645" customFormat="false" ht="15" hidden="false" customHeight="false" outlineLevel="0" collapsed="false">
      <c r="A645" s="2" t="s">
        <v>247</v>
      </c>
      <c r="B645" s="2" t="s">
        <v>140</v>
      </c>
      <c r="C645" s="3" t="n">
        <v>46055</v>
      </c>
      <c r="D645" s="2" t="str">
        <f aca="false">TEXT(C645,"YYYY-MM")</f>
        <v>2026-02</v>
      </c>
      <c r="E645" s="4" t="s">
        <v>285</v>
      </c>
      <c r="F645" s="4" t="s">
        <v>137</v>
      </c>
      <c r="G645" s="5" t="n">
        <v>2727</v>
      </c>
      <c r="H645" s="4" t="s">
        <v>231</v>
      </c>
    </row>
    <row r="646" customFormat="false" ht="15" hidden="false" customHeight="false" outlineLevel="0" collapsed="false">
      <c r="A646" s="2" t="s">
        <v>247</v>
      </c>
      <c r="B646" s="2" t="s">
        <v>140</v>
      </c>
      <c r="C646" s="3" t="n">
        <v>46056</v>
      </c>
      <c r="D646" s="2" t="str">
        <f aca="false">TEXT(C646,"YYYY-MM")</f>
        <v>2026-02</v>
      </c>
      <c r="E646" s="2" t="s">
        <v>286</v>
      </c>
      <c r="F646" s="4" t="s">
        <v>13</v>
      </c>
      <c r="G646" s="5" t="n">
        <v>1100</v>
      </c>
      <c r="H646" s="4" t="s">
        <v>74</v>
      </c>
    </row>
    <row r="647" customFormat="false" ht="15" hidden="false" customHeight="false" outlineLevel="0" collapsed="false">
      <c r="A647" s="2" t="s">
        <v>247</v>
      </c>
      <c r="B647" s="2" t="s">
        <v>140</v>
      </c>
      <c r="C647" s="3" t="n">
        <v>46056</v>
      </c>
      <c r="D647" s="2" t="str">
        <f aca="false">TEXT(C647,"YYYY-MM")</f>
        <v>2026-02</v>
      </c>
      <c r="E647" s="2" t="s">
        <v>287</v>
      </c>
      <c r="F647" s="4" t="s">
        <v>37</v>
      </c>
      <c r="G647" s="5" t="n">
        <v>116400</v>
      </c>
      <c r="H647" s="4" t="s">
        <v>288</v>
      </c>
    </row>
    <row r="648" customFormat="false" ht="15" hidden="false" customHeight="false" outlineLevel="0" collapsed="false">
      <c r="A648" s="2" t="s">
        <v>247</v>
      </c>
      <c r="B648" s="2" t="s">
        <v>140</v>
      </c>
      <c r="C648" s="3" t="n">
        <v>46056</v>
      </c>
      <c r="D648" s="2" t="str">
        <f aca="false">TEXT(C648,"YYYY-MM")</f>
        <v>2026-02</v>
      </c>
      <c r="E648" s="4" t="s">
        <v>289</v>
      </c>
      <c r="F648" s="4" t="s">
        <v>28</v>
      </c>
      <c r="G648" s="5" t="n">
        <v>1240</v>
      </c>
      <c r="H648" s="2"/>
    </row>
    <row r="649" customFormat="false" ht="15" hidden="false" customHeight="false" outlineLevel="0" collapsed="false">
      <c r="A649" s="2" t="s">
        <v>247</v>
      </c>
      <c r="B649" s="2" t="s">
        <v>140</v>
      </c>
      <c r="C649" s="3" t="n">
        <v>46065</v>
      </c>
      <c r="D649" s="2" t="str">
        <f aca="false">TEXT(C649,"YYYY-MM")</f>
        <v>2026-02</v>
      </c>
      <c r="E649" s="4" t="s">
        <v>66</v>
      </c>
      <c r="F649" s="4" t="s">
        <v>62</v>
      </c>
      <c r="G649" s="5" t="n">
        <v>385854</v>
      </c>
      <c r="H649" s="2"/>
    </row>
    <row r="650" customFormat="false" ht="15" hidden="false" customHeight="false" outlineLevel="0" collapsed="false">
      <c r="A650" s="2" t="s">
        <v>247</v>
      </c>
      <c r="B650" s="2" t="s">
        <v>140</v>
      </c>
      <c r="C650" s="3" t="n">
        <v>46065</v>
      </c>
      <c r="D650" s="2" t="str">
        <f aca="false">TEXT(C650,"YYYY-MM")</f>
        <v>2026-02</v>
      </c>
      <c r="E650" s="4" t="s">
        <v>64</v>
      </c>
      <c r="F650" s="4" t="s">
        <v>62</v>
      </c>
      <c r="G650" s="5" t="n">
        <v>488200</v>
      </c>
      <c r="H650" s="2"/>
    </row>
    <row r="651" customFormat="false" ht="15" hidden="false" customHeight="false" outlineLevel="0" collapsed="false">
      <c r="A651" s="2" t="s">
        <v>247</v>
      </c>
      <c r="B651" s="2" t="s">
        <v>140</v>
      </c>
      <c r="C651" s="3" t="n">
        <v>46065</v>
      </c>
      <c r="D651" s="2" t="str">
        <f aca="false">TEXT(C651,"YYYY-MM")</f>
        <v>2026-02</v>
      </c>
      <c r="E651" s="4" t="s">
        <v>61</v>
      </c>
      <c r="F651" s="4" t="s">
        <v>62</v>
      </c>
      <c r="G651" s="5" t="n">
        <v>4000</v>
      </c>
      <c r="H651" s="4" t="s">
        <v>63</v>
      </c>
    </row>
    <row r="652" customFormat="false" ht="15" hidden="false" customHeight="false" outlineLevel="0" collapsed="false">
      <c r="A652" s="2" t="s">
        <v>247</v>
      </c>
      <c r="B652" s="2" t="s">
        <v>140</v>
      </c>
      <c r="C652" s="3" t="n">
        <v>46065</v>
      </c>
      <c r="D652" s="2" t="str">
        <f aca="false">TEXT(C652,"YYYY-MM")</f>
        <v>2026-02</v>
      </c>
      <c r="E652" s="4" t="s">
        <v>290</v>
      </c>
      <c r="F652" s="4" t="s">
        <v>87</v>
      </c>
      <c r="G652" s="5" t="n">
        <v>16500</v>
      </c>
      <c r="H652" s="4" t="s">
        <v>88</v>
      </c>
    </row>
    <row r="653" customFormat="false" ht="15" hidden="false" customHeight="false" outlineLevel="0" collapsed="false">
      <c r="A653" s="2" t="s">
        <v>247</v>
      </c>
      <c r="B653" s="2" t="s">
        <v>140</v>
      </c>
      <c r="C653" s="3" t="n">
        <v>46066</v>
      </c>
      <c r="D653" s="2" t="str">
        <f aca="false">TEXT(C653,"YYYY-MM")</f>
        <v>2026-02</v>
      </c>
      <c r="E653" s="4" t="s">
        <v>291</v>
      </c>
      <c r="F653" s="4" t="s">
        <v>28</v>
      </c>
      <c r="G653" s="5" t="n">
        <v>2068</v>
      </c>
      <c r="H653" s="2"/>
    </row>
    <row r="654" customFormat="false" ht="15" hidden="false" customHeight="false" outlineLevel="0" collapsed="false">
      <c r="A654" s="2" t="s">
        <v>247</v>
      </c>
      <c r="B654" s="2" t="s">
        <v>140</v>
      </c>
      <c r="C654" s="3" t="n">
        <v>46066</v>
      </c>
      <c r="D654" s="2" t="str">
        <f aca="false">TEXT(C654,"YYYY-MM")</f>
        <v>2026-02</v>
      </c>
      <c r="E654" s="2" t="s">
        <v>292</v>
      </c>
      <c r="F654" s="4" t="s">
        <v>28</v>
      </c>
      <c r="G654" s="5" t="n">
        <v>990</v>
      </c>
      <c r="H654" s="2"/>
    </row>
    <row r="655" customFormat="false" ht="15" hidden="false" customHeight="false" outlineLevel="0" collapsed="false">
      <c r="A655" s="2" t="s">
        <v>247</v>
      </c>
      <c r="B655" s="2" t="s">
        <v>140</v>
      </c>
      <c r="C655" s="3" t="n">
        <v>46066</v>
      </c>
      <c r="D655" s="2" t="str">
        <f aca="false">TEXT(C655,"YYYY-MM")</f>
        <v>2026-02</v>
      </c>
      <c r="E655" s="4" t="s">
        <v>293</v>
      </c>
      <c r="F655" s="4" t="s">
        <v>13</v>
      </c>
      <c r="G655" s="5" t="n">
        <v>1030</v>
      </c>
      <c r="H655" s="4" t="s">
        <v>74</v>
      </c>
    </row>
    <row r="656" customFormat="false" ht="15" hidden="false" customHeight="false" outlineLevel="0" collapsed="false">
      <c r="A656" s="2" t="s">
        <v>247</v>
      </c>
      <c r="B656" s="2" t="s">
        <v>140</v>
      </c>
      <c r="C656" s="3" t="n">
        <v>46067</v>
      </c>
      <c r="D656" s="2" t="str">
        <f aca="false">TEXT(C656,"YYYY-MM")</f>
        <v>2026-02</v>
      </c>
      <c r="E656" s="2" t="s">
        <v>248</v>
      </c>
      <c r="F656" s="4" t="s">
        <v>37</v>
      </c>
      <c r="G656" s="5" t="n">
        <v>7445</v>
      </c>
      <c r="H656" s="2"/>
    </row>
    <row r="657" customFormat="false" ht="15" hidden="false" customHeight="false" outlineLevel="0" collapsed="false">
      <c r="A657" s="2" t="s">
        <v>247</v>
      </c>
      <c r="B657" s="2" t="s">
        <v>140</v>
      </c>
      <c r="C657" s="3" t="n">
        <v>46068</v>
      </c>
      <c r="D657" s="2" t="str">
        <f aca="false">TEXT(C657,"YYYY-MM")</f>
        <v>2026-02</v>
      </c>
      <c r="E657" s="4" t="s">
        <v>294</v>
      </c>
      <c r="F657" s="4" t="s">
        <v>22</v>
      </c>
      <c r="G657" s="5" t="n">
        <v>3400</v>
      </c>
      <c r="H657" s="2"/>
    </row>
    <row r="658" customFormat="false" ht="15" hidden="false" customHeight="false" outlineLevel="0" collapsed="false">
      <c r="A658" s="2" t="s">
        <v>247</v>
      </c>
      <c r="B658" s="2" t="s">
        <v>161</v>
      </c>
      <c r="C658" s="3" t="n">
        <v>46059</v>
      </c>
      <c r="D658" s="2" t="str">
        <f aca="false">TEXT(C658,"YYYY-MM")</f>
        <v>2026-02</v>
      </c>
      <c r="E658" s="2" t="s">
        <v>24</v>
      </c>
      <c r="F658" s="4" t="s">
        <v>17</v>
      </c>
      <c r="G658" s="5" t="n">
        <v>830</v>
      </c>
      <c r="H658" s="2"/>
    </row>
    <row r="659" customFormat="false" ht="15" hidden="false" customHeight="false" outlineLevel="0" collapsed="false">
      <c r="A659" s="2" t="s">
        <v>247</v>
      </c>
      <c r="B659" s="2" t="s">
        <v>161</v>
      </c>
      <c r="C659" s="3" t="n">
        <v>46059</v>
      </c>
      <c r="D659" s="2" t="str">
        <f aca="false">TEXT(C659,"YYYY-MM")</f>
        <v>2026-02</v>
      </c>
      <c r="E659" s="2" t="s">
        <v>24</v>
      </c>
      <c r="F659" s="4" t="s">
        <v>17</v>
      </c>
      <c r="G659" s="5" t="n">
        <v>730</v>
      </c>
      <c r="H659" s="2"/>
    </row>
    <row r="660" customFormat="false" ht="15" hidden="false" customHeight="false" outlineLevel="0" collapsed="false">
      <c r="A660" s="2" t="s">
        <v>247</v>
      </c>
      <c r="B660" s="2" t="s">
        <v>161</v>
      </c>
      <c r="C660" s="3" t="n">
        <v>46069</v>
      </c>
      <c r="D660" s="2" t="str">
        <f aca="false">TEXT(C660,"YYYY-MM")</f>
        <v>2026-02</v>
      </c>
      <c r="E660" s="2" t="s">
        <v>248</v>
      </c>
      <c r="F660" s="4" t="s">
        <v>37</v>
      </c>
      <c r="G660" s="5" t="n">
        <v>2080</v>
      </c>
      <c r="H660" s="2"/>
    </row>
    <row r="661" customFormat="false" ht="15" hidden="false" customHeight="false" outlineLevel="0" collapsed="false">
      <c r="A661" s="2" t="s">
        <v>247</v>
      </c>
      <c r="B661" s="2" t="s">
        <v>161</v>
      </c>
      <c r="C661" s="3" t="n">
        <v>46069</v>
      </c>
      <c r="D661" s="2" t="str">
        <f aca="false">TEXT(C661,"YYYY-MM")</f>
        <v>2026-02</v>
      </c>
      <c r="E661" s="4" t="s">
        <v>128</v>
      </c>
      <c r="F661" s="4" t="s">
        <v>22</v>
      </c>
      <c r="G661" s="5" t="n">
        <v>1360</v>
      </c>
      <c r="H661" s="2"/>
    </row>
    <row r="662" customFormat="false" ht="15" hidden="false" customHeight="false" outlineLevel="0" collapsed="false">
      <c r="A662" s="2" t="s">
        <v>247</v>
      </c>
      <c r="B662" s="2" t="s">
        <v>161</v>
      </c>
      <c r="C662" s="3" t="n">
        <v>46069</v>
      </c>
      <c r="D662" s="2" t="str">
        <f aca="false">TEXT(C662,"YYYY-MM")</f>
        <v>2026-02</v>
      </c>
      <c r="E662" s="4" t="s">
        <v>262</v>
      </c>
      <c r="F662" s="4" t="s">
        <v>17</v>
      </c>
      <c r="G662" s="5" t="n">
        <v>300</v>
      </c>
      <c r="H662" s="4" t="s">
        <v>18</v>
      </c>
    </row>
    <row r="663" customFormat="false" ht="15" hidden="false" customHeight="false" outlineLevel="0" collapsed="false">
      <c r="A663" s="2" t="s">
        <v>247</v>
      </c>
      <c r="B663" s="2" t="s">
        <v>161</v>
      </c>
      <c r="C663" s="3" t="n">
        <v>46069</v>
      </c>
      <c r="D663" s="2" t="str">
        <f aca="false">TEXT(C663,"YYYY-MM")</f>
        <v>2026-02</v>
      </c>
      <c r="E663" s="4" t="s">
        <v>295</v>
      </c>
      <c r="F663" s="4" t="s">
        <v>28</v>
      </c>
      <c r="G663" s="5" t="n">
        <v>775</v>
      </c>
      <c r="H663" s="2"/>
    </row>
    <row r="664" customFormat="false" ht="15" hidden="false" customHeight="false" outlineLevel="0" collapsed="false">
      <c r="A664" s="2" t="s">
        <v>247</v>
      </c>
      <c r="B664" s="2" t="s">
        <v>161</v>
      </c>
      <c r="C664" s="3" t="n">
        <v>46069</v>
      </c>
      <c r="D664" s="2" t="str">
        <f aca="false">TEXT(C664,"YYYY-MM")</f>
        <v>2026-02</v>
      </c>
      <c r="E664" s="2" t="s">
        <v>269</v>
      </c>
      <c r="F664" s="4" t="s">
        <v>17</v>
      </c>
      <c r="G664" s="5" t="n">
        <v>1800</v>
      </c>
      <c r="H664" s="4" t="s">
        <v>30</v>
      </c>
    </row>
    <row r="665" customFormat="false" ht="15" hidden="false" customHeight="false" outlineLevel="0" collapsed="false">
      <c r="A665" s="2" t="s">
        <v>247</v>
      </c>
      <c r="B665" s="2" t="s">
        <v>161</v>
      </c>
      <c r="C665" s="3" t="n">
        <v>46069</v>
      </c>
      <c r="D665" s="2" t="str">
        <f aca="false">TEXT(C665,"YYYY-MM")</f>
        <v>2026-02</v>
      </c>
      <c r="E665" s="2" t="s">
        <v>269</v>
      </c>
      <c r="F665" s="4" t="s">
        <v>17</v>
      </c>
      <c r="G665" s="5" t="n">
        <v>6373</v>
      </c>
      <c r="H665" s="4" t="s">
        <v>30</v>
      </c>
    </row>
    <row r="666" customFormat="false" ht="15" hidden="false" customHeight="false" outlineLevel="0" collapsed="false">
      <c r="A666" s="2" t="s">
        <v>247</v>
      </c>
      <c r="B666" s="2" t="s">
        <v>161</v>
      </c>
      <c r="C666" s="3" t="n">
        <v>46069</v>
      </c>
      <c r="D666" s="2" t="str">
        <f aca="false">TEXT(C666,"YYYY-MM")</f>
        <v>2026-02</v>
      </c>
      <c r="E666" s="4" t="s">
        <v>60</v>
      </c>
      <c r="F666" s="4" t="s">
        <v>37</v>
      </c>
      <c r="G666" s="5" t="n">
        <v>3950</v>
      </c>
      <c r="H666" s="2"/>
    </row>
    <row r="667" customFormat="false" ht="15" hidden="false" customHeight="false" outlineLevel="0" collapsed="false">
      <c r="A667" s="2" t="s">
        <v>247</v>
      </c>
      <c r="B667" s="2" t="s">
        <v>161</v>
      </c>
      <c r="C667" s="3" t="n">
        <v>46070</v>
      </c>
      <c r="D667" s="2" t="str">
        <f aca="false">TEXT(C667,"YYYY-MM")</f>
        <v>2026-02</v>
      </c>
      <c r="E667" s="4" t="s">
        <v>296</v>
      </c>
      <c r="F667" s="4" t="s">
        <v>13</v>
      </c>
      <c r="G667" s="5" t="n">
        <v>3000</v>
      </c>
      <c r="H667" s="4" t="s">
        <v>74</v>
      </c>
    </row>
    <row r="668" customFormat="false" ht="15" hidden="false" customHeight="false" outlineLevel="0" collapsed="false">
      <c r="A668" s="2" t="s">
        <v>247</v>
      </c>
      <c r="B668" s="2" t="s">
        <v>161</v>
      </c>
      <c r="C668" s="3" t="n">
        <v>46070</v>
      </c>
      <c r="D668" s="2" t="str">
        <f aca="false">TEXT(C668,"YYYY-MM")</f>
        <v>2026-02</v>
      </c>
      <c r="E668" s="2" t="s">
        <v>248</v>
      </c>
      <c r="F668" s="4" t="s">
        <v>37</v>
      </c>
      <c r="G668" s="5" t="n">
        <v>629</v>
      </c>
      <c r="H668" s="2"/>
    </row>
    <row r="669" customFormat="false" ht="15" hidden="false" customHeight="false" outlineLevel="0" collapsed="false">
      <c r="A669" s="2" t="s">
        <v>247</v>
      </c>
      <c r="B669" s="2" t="s">
        <v>161</v>
      </c>
      <c r="C669" s="3" t="n">
        <v>46071</v>
      </c>
      <c r="D669" s="2" t="str">
        <f aca="false">TEXT(C669,"YYYY-MM")</f>
        <v>2026-02</v>
      </c>
      <c r="E669" s="4" t="s">
        <v>128</v>
      </c>
      <c r="F669" s="4" t="s">
        <v>22</v>
      </c>
      <c r="G669" s="5" t="n">
        <v>1380</v>
      </c>
      <c r="H669" s="2"/>
    </row>
    <row r="670" customFormat="false" ht="15" hidden="false" customHeight="false" outlineLevel="0" collapsed="false">
      <c r="A670" s="2" t="s">
        <v>247</v>
      </c>
      <c r="B670" s="2" t="s">
        <v>161</v>
      </c>
      <c r="C670" s="3" t="n">
        <v>46071</v>
      </c>
      <c r="D670" s="2" t="str">
        <f aca="false">TEXT(C670,"YYYY-MM")</f>
        <v>2026-02</v>
      </c>
      <c r="E670" s="4" t="s">
        <v>128</v>
      </c>
      <c r="F670" s="4" t="s">
        <v>22</v>
      </c>
      <c r="G670" s="5" t="n">
        <v>3460</v>
      </c>
      <c r="H670" s="2"/>
    </row>
    <row r="671" customFormat="false" ht="15" hidden="false" customHeight="false" outlineLevel="0" collapsed="false">
      <c r="A671" s="2" t="s">
        <v>247</v>
      </c>
      <c r="B671" s="2" t="s">
        <v>161</v>
      </c>
      <c r="C671" s="3" t="n">
        <v>46071</v>
      </c>
      <c r="D671" s="2" t="str">
        <f aca="false">TEXT(C671,"YYYY-MM")</f>
        <v>2026-02</v>
      </c>
      <c r="E671" s="4" t="s">
        <v>155</v>
      </c>
      <c r="F671" s="4" t="s">
        <v>17</v>
      </c>
      <c r="G671" s="5" t="n">
        <v>1980</v>
      </c>
      <c r="H671" s="4" t="s">
        <v>18</v>
      </c>
    </row>
    <row r="672" customFormat="false" ht="15" hidden="false" customHeight="false" outlineLevel="0" collapsed="false">
      <c r="A672" s="2" t="s">
        <v>247</v>
      </c>
      <c r="B672" s="2" t="s">
        <v>161</v>
      </c>
      <c r="C672" s="3" t="n">
        <v>46071</v>
      </c>
      <c r="D672" s="2" t="str">
        <f aca="false">TEXT(C672,"YYYY-MM")</f>
        <v>2026-02</v>
      </c>
      <c r="E672" s="2" t="s">
        <v>297</v>
      </c>
      <c r="F672" s="4" t="s">
        <v>137</v>
      </c>
      <c r="G672" s="5" t="n">
        <v>36784</v>
      </c>
      <c r="H672" s="4" t="s">
        <v>298</v>
      </c>
    </row>
    <row r="673" customFormat="false" ht="15" hidden="false" customHeight="false" outlineLevel="0" collapsed="false">
      <c r="A673" s="2" t="s">
        <v>247</v>
      </c>
      <c r="B673" s="2" t="s">
        <v>161</v>
      </c>
      <c r="C673" s="3" t="n">
        <v>46071</v>
      </c>
      <c r="D673" s="2" t="str">
        <f aca="false">TEXT(C673,"YYYY-MM")</f>
        <v>2026-02</v>
      </c>
      <c r="E673" s="4" t="s">
        <v>154</v>
      </c>
      <c r="F673" s="4" t="s">
        <v>105</v>
      </c>
      <c r="G673" s="5" t="n">
        <v>783</v>
      </c>
      <c r="H673" s="2"/>
    </row>
    <row r="674" customFormat="false" ht="15" hidden="false" customHeight="false" outlineLevel="0" collapsed="false">
      <c r="A674" s="2" t="s">
        <v>247</v>
      </c>
      <c r="B674" s="2" t="s">
        <v>161</v>
      </c>
      <c r="C674" s="3" t="n">
        <v>46071</v>
      </c>
      <c r="D674" s="2" t="str">
        <f aca="false">TEXT(C674,"YYYY-MM")</f>
        <v>2026-02</v>
      </c>
      <c r="E674" s="4" t="s">
        <v>299</v>
      </c>
      <c r="F674" s="4" t="s">
        <v>22</v>
      </c>
      <c r="G674" s="5" t="n">
        <v>330</v>
      </c>
      <c r="H674" s="4" t="s">
        <v>42</v>
      </c>
    </row>
    <row r="675" customFormat="false" ht="15" hidden="false" customHeight="false" outlineLevel="0" collapsed="false">
      <c r="A675" s="2" t="s">
        <v>247</v>
      </c>
      <c r="B675" s="2" t="s">
        <v>161</v>
      </c>
      <c r="C675" s="3" t="n">
        <v>46072</v>
      </c>
      <c r="D675" s="2" t="str">
        <f aca="false">TEXT(C675,"YYYY-MM")</f>
        <v>2026-02</v>
      </c>
      <c r="E675" s="2" t="s">
        <v>273</v>
      </c>
      <c r="F675" s="4" t="s">
        <v>137</v>
      </c>
      <c r="G675" s="5" t="n">
        <v>8800</v>
      </c>
      <c r="H675" s="4" t="s">
        <v>138</v>
      </c>
    </row>
    <row r="676" customFormat="false" ht="15" hidden="false" customHeight="false" outlineLevel="0" collapsed="false">
      <c r="A676" s="2" t="s">
        <v>247</v>
      </c>
      <c r="B676" s="2" t="s">
        <v>161</v>
      </c>
      <c r="C676" s="3" t="n">
        <v>46072</v>
      </c>
      <c r="D676" s="2" t="str">
        <f aca="false">TEXT(C676,"YYYY-MM")</f>
        <v>2026-02</v>
      </c>
      <c r="E676" s="2" t="s">
        <v>164</v>
      </c>
      <c r="F676" s="4" t="s">
        <v>22</v>
      </c>
      <c r="G676" s="5" t="n">
        <v>1450</v>
      </c>
      <c r="H676" s="4" t="s">
        <v>42</v>
      </c>
    </row>
    <row r="677" customFormat="false" ht="15" hidden="false" customHeight="false" outlineLevel="0" collapsed="false">
      <c r="A677" s="2" t="s">
        <v>247</v>
      </c>
      <c r="B677" s="2" t="s">
        <v>161</v>
      </c>
      <c r="C677" s="3" t="n">
        <v>46076</v>
      </c>
      <c r="D677" s="2" t="str">
        <f aca="false">TEXT(C677,"YYYY-MM")</f>
        <v>2026-02</v>
      </c>
      <c r="E677" s="4" t="s">
        <v>300</v>
      </c>
      <c r="F677" s="4" t="s">
        <v>22</v>
      </c>
      <c r="G677" s="5" t="n">
        <v>1620</v>
      </c>
      <c r="H677" s="2"/>
    </row>
    <row r="678" customFormat="false" ht="15" hidden="false" customHeight="false" outlineLevel="0" collapsed="false">
      <c r="A678" s="2" t="s">
        <v>247</v>
      </c>
      <c r="B678" s="2" t="s">
        <v>161</v>
      </c>
      <c r="C678" s="3" t="n">
        <v>46077</v>
      </c>
      <c r="D678" s="2" t="str">
        <f aca="false">TEXT(C678,"YYYY-MM")</f>
        <v>2026-02</v>
      </c>
      <c r="E678" s="4" t="s">
        <v>301</v>
      </c>
      <c r="F678" s="4" t="s">
        <v>22</v>
      </c>
      <c r="G678" s="5" t="n">
        <v>380</v>
      </c>
      <c r="H678" s="4" t="s">
        <v>42</v>
      </c>
    </row>
    <row r="679" customFormat="false" ht="15" hidden="false" customHeight="false" outlineLevel="0" collapsed="false">
      <c r="A679" s="2" t="s">
        <v>247</v>
      </c>
      <c r="B679" s="2" t="s">
        <v>161</v>
      </c>
      <c r="C679" s="3" t="n">
        <v>46077</v>
      </c>
      <c r="D679" s="2" t="str">
        <f aca="false">TEXT(C679,"YYYY-MM")</f>
        <v>2026-02</v>
      </c>
      <c r="E679" s="4" t="s">
        <v>128</v>
      </c>
      <c r="F679" s="4" t="s">
        <v>22</v>
      </c>
      <c r="G679" s="5" t="n">
        <v>1380</v>
      </c>
      <c r="H679" s="2"/>
    </row>
    <row r="680" customFormat="false" ht="15" hidden="false" customHeight="false" outlineLevel="0" collapsed="false">
      <c r="A680" s="2" t="s">
        <v>247</v>
      </c>
      <c r="B680" s="2" t="s">
        <v>161</v>
      </c>
      <c r="C680" s="3" t="n">
        <v>46077</v>
      </c>
      <c r="D680" s="2" t="str">
        <f aca="false">TEXT(C680,"YYYY-MM")</f>
        <v>2026-02</v>
      </c>
      <c r="E680" s="4" t="s">
        <v>302</v>
      </c>
      <c r="F680" s="4" t="s">
        <v>13</v>
      </c>
      <c r="G680" s="5" t="n">
        <v>1900</v>
      </c>
      <c r="H680" s="4" t="s">
        <v>74</v>
      </c>
    </row>
    <row r="681" customFormat="false" ht="15" hidden="false" customHeight="false" outlineLevel="0" collapsed="false">
      <c r="A681" s="2" t="s">
        <v>247</v>
      </c>
      <c r="B681" s="2" t="s">
        <v>161</v>
      </c>
      <c r="C681" s="3" t="n">
        <v>46078</v>
      </c>
      <c r="D681" s="2" t="str">
        <f aca="false">TEXT(C681,"YYYY-MM")</f>
        <v>2026-02</v>
      </c>
      <c r="E681" s="4" t="s">
        <v>128</v>
      </c>
      <c r="F681" s="4" t="s">
        <v>22</v>
      </c>
      <c r="G681" s="5" t="n">
        <v>1380</v>
      </c>
      <c r="H681" s="2"/>
    </row>
    <row r="682" customFormat="false" ht="15" hidden="false" customHeight="false" outlineLevel="0" collapsed="false">
      <c r="A682" s="2" t="s">
        <v>247</v>
      </c>
      <c r="B682" s="2" t="s">
        <v>161</v>
      </c>
      <c r="C682" s="3" t="n">
        <v>46078</v>
      </c>
      <c r="D682" s="2" t="str">
        <f aca="false">TEXT(C682,"YYYY-MM")</f>
        <v>2026-02</v>
      </c>
      <c r="E682" s="2" t="s">
        <v>276</v>
      </c>
      <c r="F682" s="4" t="s">
        <v>26</v>
      </c>
      <c r="G682" s="5" t="n">
        <v>1500</v>
      </c>
      <c r="H682" s="2"/>
    </row>
    <row r="683" customFormat="false" ht="15" hidden="false" customHeight="false" outlineLevel="0" collapsed="false">
      <c r="A683" s="2" t="s">
        <v>247</v>
      </c>
      <c r="B683" s="2" t="s">
        <v>161</v>
      </c>
      <c r="C683" s="3" t="n">
        <v>46079</v>
      </c>
      <c r="D683" s="2" t="str">
        <f aca="false">TEXT(C683,"YYYY-MM")</f>
        <v>2026-02</v>
      </c>
      <c r="E683" s="4" t="s">
        <v>128</v>
      </c>
      <c r="F683" s="4" t="s">
        <v>22</v>
      </c>
      <c r="G683" s="5" t="n">
        <v>1760</v>
      </c>
      <c r="H683" s="2"/>
    </row>
    <row r="684" customFormat="false" ht="15" hidden="false" customHeight="false" outlineLevel="0" collapsed="false">
      <c r="A684" s="2" t="s">
        <v>247</v>
      </c>
      <c r="B684" s="2" t="s">
        <v>161</v>
      </c>
      <c r="C684" s="3" t="n">
        <v>46079</v>
      </c>
      <c r="D684" s="2" t="str">
        <f aca="false">TEXT(C684,"YYYY-MM")</f>
        <v>2026-02</v>
      </c>
      <c r="E684" s="4" t="s">
        <v>303</v>
      </c>
      <c r="F684" s="4" t="s">
        <v>13</v>
      </c>
      <c r="G684" s="5" t="n">
        <v>1500</v>
      </c>
      <c r="H684" s="4" t="s">
        <v>74</v>
      </c>
    </row>
    <row r="685" customFormat="false" ht="15" hidden="false" customHeight="false" outlineLevel="0" collapsed="false">
      <c r="A685" s="2" t="s">
        <v>247</v>
      </c>
      <c r="B685" s="2" t="s">
        <v>161</v>
      </c>
      <c r="C685" s="3" t="n">
        <v>46080</v>
      </c>
      <c r="D685" s="2" t="str">
        <f aca="false">TEXT(C685,"YYYY-MM")</f>
        <v>2026-02</v>
      </c>
      <c r="E685" s="4" t="s">
        <v>304</v>
      </c>
      <c r="F685" s="4" t="s">
        <v>22</v>
      </c>
      <c r="G685" s="5" t="n">
        <v>14400</v>
      </c>
      <c r="H685" s="4" t="s">
        <v>118</v>
      </c>
    </row>
    <row r="686" customFormat="false" ht="15" hidden="false" customHeight="false" outlineLevel="0" collapsed="false">
      <c r="A686" s="2" t="s">
        <v>247</v>
      </c>
      <c r="B686" s="2" t="s">
        <v>161</v>
      </c>
      <c r="C686" s="3" t="n">
        <v>46081</v>
      </c>
      <c r="D686" s="2" t="str">
        <f aca="false">TEXT(C686,"YYYY-MM")</f>
        <v>2026-02</v>
      </c>
      <c r="E686" s="4" t="s">
        <v>305</v>
      </c>
      <c r="F686" s="4" t="s">
        <v>22</v>
      </c>
      <c r="G686" s="5" t="n">
        <v>7310</v>
      </c>
      <c r="H686" s="2"/>
    </row>
    <row r="687" customFormat="false" ht="15" hidden="false" customHeight="false" outlineLevel="0" collapsed="false">
      <c r="A687" s="2" t="s">
        <v>247</v>
      </c>
      <c r="B687" s="2" t="s">
        <v>161</v>
      </c>
      <c r="C687" s="3" t="n">
        <v>46082</v>
      </c>
      <c r="D687" s="2" t="str">
        <f aca="false">TEXT(C687,"YYYY-MM")</f>
        <v>2026-03</v>
      </c>
      <c r="E687" s="4" t="s">
        <v>306</v>
      </c>
      <c r="F687" s="4" t="s">
        <v>17</v>
      </c>
      <c r="G687" s="5" t="n">
        <v>500</v>
      </c>
      <c r="H687" s="4" t="s">
        <v>18</v>
      </c>
    </row>
    <row r="688" customFormat="false" ht="15" hidden="false" customHeight="false" outlineLevel="0" collapsed="false">
      <c r="A688" s="2" t="s">
        <v>247</v>
      </c>
      <c r="B688" s="2" t="s">
        <v>161</v>
      </c>
      <c r="C688" s="3" t="n">
        <v>46082</v>
      </c>
      <c r="D688" s="2" t="str">
        <f aca="false">TEXT(C688,"YYYY-MM")</f>
        <v>2026-03</v>
      </c>
      <c r="E688" s="4" t="s">
        <v>250</v>
      </c>
      <c r="F688" s="4" t="s">
        <v>105</v>
      </c>
      <c r="G688" s="5" t="n">
        <v>549</v>
      </c>
      <c r="H688" s="2"/>
    </row>
    <row r="689" customFormat="false" ht="15" hidden="false" customHeight="false" outlineLevel="0" collapsed="false">
      <c r="A689" s="2" t="s">
        <v>247</v>
      </c>
      <c r="B689" s="2" t="s">
        <v>161</v>
      </c>
      <c r="C689" s="3" t="n">
        <v>46082</v>
      </c>
      <c r="D689" s="2" t="str">
        <f aca="false">TEXT(C689,"YYYY-MM")</f>
        <v>2026-03</v>
      </c>
      <c r="E689" s="4" t="s">
        <v>250</v>
      </c>
      <c r="F689" s="4" t="s">
        <v>105</v>
      </c>
      <c r="G689" s="5" t="n">
        <v>288</v>
      </c>
      <c r="H689" s="2"/>
    </row>
    <row r="690" customFormat="false" ht="15" hidden="false" customHeight="false" outlineLevel="0" collapsed="false">
      <c r="A690" s="2" t="s">
        <v>247</v>
      </c>
      <c r="B690" s="2" t="s">
        <v>161</v>
      </c>
      <c r="C690" s="3" t="n">
        <v>46082</v>
      </c>
      <c r="D690" s="2" t="str">
        <f aca="false">TEXT(C690,"YYYY-MM")</f>
        <v>2026-03</v>
      </c>
      <c r="E690" s="4" t="s">
        <v>307</v>
      </c>
      <c r="F690" s="4" t="s">
        <v>22</v>
      </c>
      <c r="G690" s="5" t="n">
        <v>6196</v>
      </c>
      <c r="H690" s="2"/>
    </row>
    <row r="691" customFormat="false" ht="15" hidden="false" customHeight="false" outlineLevel="0" collapsed="false">
      <c r="A691" s="2" t="s">
        <v>247</v>
      </c>
      <c r="B691" s="2" t="s">
        <v>161</v>
      </c>
      <c r="C691" s="3" t="n">
        <v>46082</v>
      </c>
      <c r="D691" s="2" t="str">
        <f aca="false">TEXT(C691,"YYYY-MM")</f>
        <v>2026-03</v>
      </c>
      <c r="E691" s="4" t="s">
        <v>308</v>
      </c>
      <c r="F691" s="4" t="s">
        <v>105</v>
      </c>
      <c r="G691" s="5" t="n">
        <v>1783</v>
      </c>
      <c r="H691" s="2"/>
    </row>
    <row r="692" customFormat="false" ht="15" hidden="false" customHeight="false" outlineLevel="0" collapsed="false">
      <c r="A692" s="2" t="s">
        <v>247</v>
      </c>
      <c r="B692" s="2" t="s">
        <v>161</v>
      </c>
      <c r="C692" s="3" t="n">
        <v>46083</v>
      </c>
      <c r="D692" s="2" t="str">
        <f aca="false">TEXT(C692,"YYYY-MM")</f>
        <v>2026-03</v>
      </c>
      <c r="E692" s="2" t="s">
        <v>248</v>
      </c>
      <c r="F692" s="4" t="s">
        <v>37</v>
      </c>
      <c r="G692" s="5" t="n">
        <v>628</v>
      </c>
      <c r="H692" s="2"/>
    </row>
    <row r="693" customFormat="false" ht="15" hidden="false" customHeight="false" outlineLevel="0" collapsed="false">
      <c r="A693" s="2" t="s">
        <v>247</v>
      </c>
      <c r="B693" s="2" t="s">
        <v>161</v>
      </c>
      <c r="C693" s="3" t="n">
        <v>46083</v>
      </c>
      <c r="D693" s="2" t="str">
        <f aca="false">TEXT(C693,"YYYY-MM")</f>
        <v>2026-03</v>
      </c>
      <c r="E693" s="4" t="s">
        <v>128</v>
      </c>
      <c r="F693" s="4" t="s">
        <v>22</v>
      </c>
      <c r="G693" s="5" t="n">
        <v>1380</v>
      </c>
      <c r="H693" s="2"/>
    </row>
    <row r="694" customFormat="false" ht="15" hidden="false" customHeight="false" outlineLevel="0" collapsed="false">
      <c r="A694" s="2" t="s">
        <v>247</v>
      </c>
      <c r="B694" s="2" t="s">
        <v>161</v>
      </c>
      <c r="C694" s="3" t="n">
        <v>46083</v>
      </c>
      <c r="D694" s="2" t="str">
        <f aca="false">TEXT(C694,"YYYY-MM")</f>
        <v>2026-03</v>
      </c>
      <c r="E694" s="4" t="s">
        <v>156</v>
      </c>
      <c r="F694" s="4" t="s">
        <v>37</v>
      </c>
      <c r="G694" s="5" t="n">
        <v>33275</v>
      </c>
      <c r="H694" s="4" t="s">
        <v>157</v>
      </c>
    </row>
    <row r="695" customFormat="false" ht="15" hidden="false" customHeight="false" outlineLevel="0" collapsed="false">
      <c r="A695" s="2" t="s">
        <v>247</v>
      </c>
      <c r="B695" s="2" t="s">
        <v>161</v>
      </c>
      <c r="C695" s="3" t="n">
        <v>46084</v>
      </c>
      <c r="D695" s="2" t="str">
        <f aca="false">TEXT(C695,"YYYY-MM")</f>
        <v>2026-03</v>
      </c>
      <c r="E695" s="4" t="s">
        <v>128</v>
      </c>
      <c r="F695" s="4" t="s">
        <v>22</v>
      </c>
      <c r="G695" s="5" t="n">
        <v>2130</v>
      </c>
      <c r="H695" s="2"/>
    </row>
    <row r="696" customFormat="false" ht="15" hidden="false" customHeight="false" outlineLevel="0" collapsed="false">
      <c r="A696" s="2" t="s">
        <v>247</v>
      </c>
      <c r="B696" s="2" t="s">
        <v>161</v>
      </c>
      <c r="C696" s="3" t="n">
        <v>46085</v>
      </c>
      <c r="D696" s="2" t="str">
        <f aca="false">TEXT(C696,"YYYY-MM")</f>
        <v>2026-03</v>
      </c>
      <c r="E696" s="4" t="s">
        <v>128</v>
      </c>
      <c r="F696" s="4" t="s">
        <v>22</v>
      </c>
      <c r="G696" s="5" t="n">
        <v>2200</v>
      </c>
      <c r="H696" s="2"/>
    </row>
    <row r="697" customFormat="false" ht="15" hidden="false" customHeight="false" outlineLevel="0" collapsed="false">
      <c r="A697" s="2" t="s">
        <v>247</v>
      </c>
      <c r="B697" s="2" t="s">
        <v>161</v>
      </c>
      <c r="C697" s="3" t="n">
        <v>46086</v>
      </c>
      <c r="D697" s="2" t="str">
        <f aca="false">TEXT(C697,"YYYY-MM")</f>
        <v>2026-03</v>
      </c>
      <c r="E697" s="4" t="s">
        <v>128</v>
      </c>
      <c r="F697" s="4" t="s">
        <v>22</v>
      </c>
      <c r="G697" s="5" t="n">
        <v>2110</v>
      </c>
      <c r="H697" s="2"/>
    </row>
    <row r="698" customFormat="false" ht="15" hidden="false" customHeight="false" outlineLevel="0" collapsed="false">
      <c r="A698" s="2" t="s">
        <v>247</v>
      </c>
      <c r="B698" s="2" t="s">
        <v>161</v>
      </c>
      <c r="C698" s="3" t="n">
        <v>46086</v>
      </c>
      <c r="D698" s="2" t="str">
        <f aca="false">TEXT(C698,"YYYY-MM")</f>
        <v>2026-03</v>
      </c>
      <c r="E698" s="4" t="s">
        <v>309</v>
      </c>
      <c r="F698" s="4" t="s">
        <v>22</v>
      </c>
      <c r="G698" s="5" t="n">
        <v>5203</v>
      </c>
      <c r="H698" s="2"/>
    </row>
    <row r="699" customFormat="false" ht="15" hidden="false" customHeight="false" outlineLevel="0" collapsed="false">
      <c r="A699" s="2" t="s">
        <v>247</v>
      </c>
      <c r="B699" s="2" t="s">
        <v>161</v>
      </c>
      <c r="C699" s="3" t="n">
        <v>46086</v>
      </c>
      <c r="D699" s="2" t="str">
        <f aca="false">TEXT(C699,"YYYY-MM")</f>
        <v>2026-03</v>
      </c>
      <c r="E699" s="4" t="s">
        <v>310</v>
      </c>
      <c r="F699" s="4" t="s">
        <v>137</v>
      </c>
      <c r="G699" s="5" t="n">
        <v>3290</v>
      </c>
      <c r="H699" s="4" t="s">
        <v>229</v>
      </c>
    </row>
    <row r="700" customFormat="false" ht="15" hidden="false" customHeight="false" outlineLevel="0" collapsed="false">
      <c r="A700" s="2" t="s">
        <v>247</v>
      </c>
      <c r="B700" s="2" t="s">
        <v>161</v>
      </c>
      <c r="C700" s="3" t="n">
        <v>46087</v>
      </c>
      <c r="D700" s="2" t="str">
        <f aca="false">TEXT(C700,"YYYY-MM")</f>
        <v>2026-03</v>
      </c>
      <c r="E700" s="2" t="s">
        <v>311</v>
      </c>
      <c r="F700" s="4" t="s">
        <v>37</v>
      </c>
      <c r="G700" s="5" t="n">
        <v>26575</v>
      </c>
      <c r="H700" s="2"/>
    </row>
    <row r="701" customFormat="false" ht="15" hidden="false" customHeight="false" outlineLevel="0" collapsed="false">
      <c r="A701" s="2" t="s">
        <v>247</v>
      </c>
      <c r="B701" s="2" t="s">
        <v>161</v>
      </c>
      <c r="C701" s="3" t="n">
        <v>46087</v>
      </c>
      <c r="D701" s="2" t="str">
        <f aca="false">TEXT(C701,"YYYY-MM")</f>
        <v>2026-03</v>
      </c>
      <c r="E701" s="4" t="s">
        <v>312</v>
      </c>
      <c r="F701" s="4" t="s">
        <v>35</v>
      </c>
      <c r="G701" s="5" t="n">
        <v>29800</v>
      </c>
      <c r="H701" s="4" t="s">
        <v>313</v>
      </c>
    </row>
    <row r="702" customFormat="false" ht="15" hidden="false" customHeight="false" outlineLevel="0" collapsed="false">
      <c r="A702" s="2" t="s">
        <v>247</v>
      </c>
      <c r="B702" s="2" t="s">
        <v>161</v>
      </c>
      <c r="C702" s="3" t="n">
        <v>46087</v>
      </c>
      <c r="D702" s="2" t="str">
        <f aca="false">TEXT(C702,"YYYY-MM")</f>
        <v>2026-03</v>
      </c>
      <c r="E702" s="4" t="s">
        <v>314</v>
      </c>
      <c r="F702" s="4" t="s">
        <v>68</v>
      </c>
      <c r="G702" s="5" t="n">
        <v>10340</v>
      </c>
      <c r="H702" s="4" t="s">
        <v>69</v>
      </c>
    </row>
    <row r="703" customFormat="false" ht="15" hidden="false" customHeight="false" outlineLevel="0" collapsed="false">
      <c r="A703" s="2" t="s">
        <v>247</v>
      </c>
      <c r="B703" s="2" t="s">
        <v>161</v>
      </c>
      <c r="C703" s="3" t="n">
        <v>46088</v>
      </c>
      <c r="D703" s="2" t="str">
        <f aca="false">TEXT(C703,"YYYY-MM")</f>
        <v>2026-03</v>
      </c>
      <c r="E703" s="4" t="s">
        <v>306</v>
      </c>
      <c r="F703" s="4" t="s">
        <v>17</v>
      </c>
      <c r="G703" s="5" t="n">
        <v>800</v>
      </c>
      <c r="H703" s="4" t="s">
        <v>18</v>
      </c>
    </row>
    <row r="704" customFormat="false" ht="15" hidden="false" customHeight="false" outlineLevel="0" collapsed="false">
      <c r="A704" s="2" t="s">
        <v>247</v>
      </c>
      <c r="B704" s="2" t="s">
        <v>161</v>
      </c>
      <c r="C704" s="3" t="n">
        <v>46088</v>
      </c>
      <c r="D704" s="2" t="str">
        <f aca="false">TEXT(C704,"YYYY-MM")</f>
        <v>2026-03</v>
      </c>
      <c r="E704" s="2" t="s">
        <v>248</v>
      </c>
      <c r="F704" s="4" t="s">
        <v>37</v>
      </c>
      <c r="G704" s="5" t="n">
        <v>1738</v>
      </c>
      <c r="H704" s="2"/>
    </row>
    <row r="705" customFormat="false" ht="15" hidden="false" customHeight="false" outlineLevel="0" collapsed="false">
      <c r="A705" s="2" t="s">
        <v>247</v>
      </c>
      <c r="B705" s="2" t="s">
        <v>161</v>
      </c>
      <c r="C705" s="3" t="n">
        <v>46088</v>
      </c>
      <c r="D705" s="2" t="str">
        <f aca="false">TEXT(C705,"YYYY-MM")</f>
        <v>2026-03</v>
      </c>
      <c r="E705" s="4" t="s">
        <v>315</v>
      </c>
      <c r="F705" s="4" t="s">
        <v>22</v>
      </c>
      <c r="G705" s="5" t="n">
        <v>6032</v>
      </c>
      <c r="H705" s="2"/>
    </row>
    <row r="706" customFormat="false" ht="15" hidden="false" customHeight="false" outlineLevel="0" collapsed="false">
      <c r="A706" s="2" t="s">
        <v>247</v>
      </c>
      <c r="B706" s="2" t="s">
        <v>161</v>
      </c>
      <c r="C706" s="3" t="n">
        <v>46088</v>
      </c>
      <c r="D706" s="2" t="str">
        <f aca="false">TEXT(C706,"YYYY-MM")</f>
        <v>2026-03</v>
      </c>
      <c r="E706" s="4" t="s">
        <v>100</v>
      </c>
      <c r="F706" s="4" t="s">
        <v>22</v>
      </c>
      <c r="G706" s="5" t="n">
        <v>9669</v>
      </c>
      <c r="H706" s="2"/>
    </row>
    <row r="707" customFormat="false" ht="15" hidden="false" customHeight="false" outlineLevel="0" collapsed="false">
      <c r="A707" s="2" t="s">
        <v>247</v>
      </c>
      <c r="B707" s="2" t="s">
        <v>161</v>
      </c>
      <c r="C707" s="3" t="n">
        <v>46089</v>
      </c>
      <c r="D707" s="2" t="str">
        <f aca="false">TEXT(C707,"YYYY-MM")</f>
        <v>2026-03</v>
      </c>
      <c r="E707" s="4" t="s">
        <v>107</v>
      </c>
      <c r="F707" s="4" t="s">
        <v>37</v>
      </c>
      <c r="G707" s="5" t="n">
        <v>3990</v>
      </c>
      <c r="H707" s="2"/>
    </row>
    <row r="708" customFormat="false" ht="15" hidden="false" customHeight="false" outlineLevel="0" collapsed="false">
      <c r="A708" s="2" t="s">
        <v>247</v>
      </c>
      <c r="B708" s="2" t="s">
        <v>161</v>
      </c>
      <c r="C708" s="3" t="n">
        <v>46089</v>
      </c>
      <c r="D708" s="2" t="str">
        <f aca="false">TEXT(C708,"YYYY-MM")</f>
        <v>2026-03</v>
      </c>
      <c r="E708" s="4" t="s">
        <v>316</v>
      </c>
      <c r="F708" s="4" t="s">
        <v>105</v>
      </c>
      <c r="G708" s="5" t="n">
        <v>1949</v>
      </c>
      <c r="H708" s="2"/>
    </row>
    <row r="709" customFormat="false" ht="15" hidden="false" customHeight="false" outlineLevel="0" collapsed="false">
      <c r="A709" s="2" t="s">
        <v>247</v>
      </c>
      <c r="B709" s="2" t="s">
        <v>161</v>
      </c>
      <c r="C709" s="3" t="n">
        <v>46090</v>
      </c>
      <c r="D709" s="2" t="str">
        <f aca="false">TEXT(C709,"YYYY-MM")</f>
        <v>2026-03</v>
      </c>
      <c r="E709" s="4" t="s">
        <v>99</v>
      </c>
      <c r="F709" s="4" t="s">
        <v>13</v>
      </c>
      <c r="G709" s="5" t="n">
        <v>600</v>
      </c>
      <c r="H709" s="4" t="s">
        <v>74</v>
      </c>
    </row>
    <row r="710" customFormat="false" ht="15" hidden="false" customHeight="false" outlineLevel="0" collapsed="false">
      <c r="A710" s="2" t="s">
        <v>247</v>
      </c>
      <c r="B710" s="2" t="s">
        <v>161</v>
      </c>
      <c r="C710" s="3" t="n">
        <v>46090</v>
      </c>
      <c r="D710" s="2" t="str">
        <f aca="false">TEXT(C710,"YYYY-MM")</f>
        <v>2026-03</v>
      </c>
      <c r="E710" s="4" t="s">
        <v>129</v>
      </c>
      <c r="F710" s="4" t="s">
        <v>105</v>
      </c>
      <c r="G710" s="5" t="n">
        <v>604</v>
      </c>
      <c r="H710" s="2"/>
    </row>
    <row r="711" customFormat="false" ht="15" hidden="false" customHeight="false" outlineLevel="0" collapsed="false">
      <c r="A711" s="2" t="s">
        <v>247</v>
      </c>
      <c r="B711" s="2" t="s">
        <v>161</v>
      </c>
      <c r="C711" s="3" t="n">
        <v>46090</v>
      </c>
      <c r="D711" s="2" t="str">
        <f aca="false">TEXT(C711,"YYYY-MM")</f>
        <v>2026-03</v>
      </c>
      <c r="E711" s="4" t="s">
        <v>38</v>
      </c>
      <c r="F711" s="4" t="s">
        <v>22</v>
      </c>
      <c r="G711" s="5" t="n">
        <v>1980</v>
      </c>
      <c r="H711" s="2"/>
    </row>
    <row r="712" customFormat="false" ht="15" hidden="false" customHeight="false" outlineLevel="0" collapsed="false">
      <c r="A712" s="2" t="s">
        <v>247</v>
      </c>
      <c r="B712" s="2" t="s">
        <v>161</v>
      </c>
      <c r="C712" s="3" t="n">
        <v>46091</v>
      </c>
      <c r="D712" s="2" t="str">
        <f aca="false">TEXT(C712,"YYYY-MM")</f>
        <v>2026-03</v>
      </c>
      <c r="E712" s="4" t="s">
        <v>128</v>
      </c>
      <c r="F712" s="4" t="s">
        <v>22</v>
      </c>
      <c r="G712" s="5" t="n">
        <v>2060</v>
      </c>
      <c r="H712" s="2"/>
    </row>
    <row r="713" customFormat="false" ht="15" hidden="false" customHeight="false" outlineLevel="0" collapsed="false">
      <c r="A713" s="2" t="s">
        <v>247</v>
      </c>
      <c r="B713" s="2" t="s">
        <v>161</v>
      </c>
      <c r="C713" s="3" t="n">
        <v>46091</v>
      </c>
      <c r="D713" s="2" t="str">
        <f aca="false">TEXT(C713,"YYYY-MM")</f>
        <v>2026-03</v>
      </c>
      <c r="E713" s="2" t="s">
        <v>297</v>
      </c>
      <c r="F713" s="4" t="s">
        <v>137</v>
      </c>
      <c r="G713" s="5" t="n">
        <v>36784</v>
      </c>
      <c r="H713" s="4" t="s">
        <v>298</v>
      </c>
    </row>
    <row r="714" customFormat="false" ht="15" hidden="false" customHeight="false" outlineLevel="0" collapsed="false">
      <c r="A714" s="2" t="s">
        <v>247</v>
      </c>
      <c r="B714" s="2" t="s">
        <v>161</v>
      </c>
      <c r="C714" s="3" t="n">
        <v>46091</v>
      </c>
      <c r="D714" s="2" t="str">
        <f aca="false">TEXT(C714,"YYYY-MM")</f>
        <v>2026-03</v>
      </c>
      <c r="E714" s="4" t="s">
        <v>66</v>
      </c>
      <c r="F714" s="4" t="s">
        <v>62</v>
      </c>
      <c r="G714" s="5" t="n">
        <v>377416</v>
      </c>
      <c r="H714" s="2"/>
    </row>
    <row r="715" customFormat="false" ht="15" hidden="false" customHeight="false" outlineLevel="0" collapsed="false">
      <c r="A715" s="2" t="s">
        <v>247</v>
      </c>
      <c r="B715" s="2" t="s">
        <v>161</v>
      </c>
      <c r="C715" s="3" t="n">
        <v>46091</v>
      </c>
      <c r="D715" s="2" t="str">
        <f aca="false">TEXT(C715,"YYYY-MM")</f>
        <v>2026-03</v>
      </c>
      <c r="E715" s="4" t="s">
        <v>64</v>
      </c>
      <c r="F715" s="4" t="s">
        <v>62</v>
      </c>
      <c r="G715" s="5" t="n">
        <v>488200</v>
      </c>
      <c r="H715" s="2"/>
    </row>
    <row r="716" customFormat="false" ht="15" hidden="false" customHeight="false" outlineLevel="0" collapsed="false">
      <c r="A716" s="2" t="s">
        <v>247</v>
      </c>
      <c r="B716" s="2" t="s">
        <v>161</v>
      </c>
      <c r="C716" s="3" t="n">
        <v>46091</v>
      </c>
      <c r="D716" s="2" t="str">
        <f aca="false">TEXT(C716,"YYYY-MM")</f>
        <v>2026-03</v>
      </c>
      <c r="E716" s="4" t="s">
        <v>61</v>
      </c>
      <c r="F716" s="4" t="s">
        <v>62</v>
      </c>
      <c r="G716" s="5" t="n">
        <v>4000</v>
      </c>
      <c r="H716" s="4" t="s">
        <v>63</v>
      </c>
    </row>
    <row r="717" customFormat="false" ht="15" hidden="false" customHeight="false" outlineLevel="0" collapsed="false">
      <c r="A717" s="2" t="s">
        <v>247</v>
      </c>
      <c r="B717" s="2" t="s">
        <v>161</v>
      </c>
      <c r="C717" s="3" t="n">
        <v>46092</v>
      </c>
      <c r="D717" s="2" t="str">
        <f aca="false">TEXT(C717,"YYYY-MM")</f>
        <v>2026-03</v>
      </c>
      <c r="E717" s="2" t="s">
        <v>292</v>
      </c>
      <c r="F717" s="4" t="s">
        <v>28</v>
      </c>
      <c r="G717" s="5" t="n">
        <v>1270</v>
      </c>
      <c r="H717" s="2"/>
    </row>
    <row r="718" customFormat="false" ht="15" hidden="false" customHeight="false" outlineLevel="0" collapsed="false">
      <c r="A718" s="2" t="s">
        <v>247</v>
      </c>
      <c r="B718" s="2" t="s">
        <v>161</v>
      </c>
      <c r="C718" s="3" t="n">
        <v>46092</v>
      </c>
      <c r="D718" s="2" t="str">
        <f aca="false">TEXT(C718,"YYYY-MM")</f>
        <v>2026-03</v>
      </c>
      <c r="E718" s="4" t="s">
        <v>317</v>
      </c>
      <c r="F718" s="4" t="s">
        <v>13</v>
      </c>
      <c r="G718" s="5" t="n">
        <v>1210</v>
      </c>
      <c r="H718" s="4" t="s">
        <v>74</v>
      </c>
    </row>
    <row r="719" customFormat="false" ht="15" hidden="false" customHeight="false" outlineLevel="0" collapsed="false">
      <c r="A719" s="2" t="s">
        <v>247</v>
      </c>
      <c r="B719" s="2" t="s">
        <v>161</v>
      </c>
      <c r="C719" s="3" t="n">
        <v>46092</v>
      </c>
      <c r="D719" s="2" t="str">
        <f aca="false">TEXT(C719,"YYYY-MM")</f>
        <v>2026-03</v>
      </c>
      <c r="E719" s="4" t="s">
        <v>318</v>
      </c>
      <c r="F719" s="4" t="s">
        <v>13</v>
      </c>
      <c r="G719" s="5" t="n">
        <v>4360</v>
      </c>
      <c r="H719" s="4" t="s">
        <v>74</v>
      </c>
    </row>
    <row r="720" customFormat="false" ht="15" hidden="false" customHeight="false" outlineLevel="0" collapsed="false">
      <c r="A720" s="2" t="s">
        <v>247</v>
      </c>
      <c r="B720" s="2" t="s">
        <v>161</v>
      </c>
      <c r="C720" s="3" t="n">
        <v>46092</v>
      </c>
      <c r="D720" s="2" t="str">
        <f aca="false">TEXT(C720,"YYYY-MM")</f>
        <v>2026-03</v>
      </c>
      <c r="E720" s="4" t="s">
        <v>318</v>
      </c>
      <c r="F720" s="4" t="s">
        <v>13</v>
      </c>
      <c r="G720" s="5" t="n">
        <v>3860</v>
      </c>
      <c r="H720" s="4" t="s">
        <v>74</v>
      </c>
    </row>
    <row r="721" customFormat="false" ht="15" hidden="false" customHeight="false" outlineLevel="0" collapsed="false">
      <c r="A721" s="2" t="s">
        <v>247</v>
      </c>
      <c r="B721" s="2" t="s">
        <v>161</v>
      </c>
      <c r="C721" s="3" t="n">
        <v>46092</v>
      </c>
      <c r="D721" s="2" t="str">
        <f aca="false">TEXT(C721,"YYYY-MM")</f>
        <v>2026-03</v>
      </c>
      <c r="E721" s="2" t="s">
        <v>319</v>
      </c>
      <c r="F721" s="4" t="s">
        <v>22</v>
      </c>
      <c r="G721" s="5" t="n">
        <v>36000</v>
      </c>
      <c r="H721" s="4" t="s">
        <v>320</v>
      </c>
    </row>
    <row r="722" customFormat="false" ht="15" hidden="false" customHeight="false" outlineLevel="0" collapsed="false">
      <c r="A722" s="2" t="s">
        <v>247</v>
      </c>
      <c r="B722" s="2" t="s">
        <v>161</v>
      </c>
      <c r="C722" s="3" t="n">
        <v>46093</v>
      </c>
      <c r="D722" s="2" t="str">
        <f aca="false">TEXT(C722,"YYYY-MM")</f>
        <v>2026-03</v>
      </c>
      <c r="E722" s="4" t="s">
        <v>128</v>
      </c>
      <c r="F722" s="4" t="s">
        <v>22</v>
      </c>
      <c r="G722" s="5" t="n">
        <v>2010</v>
      </c>
      <c r="H722" s="2"/>
    </row>
    <row r="723" customFormat="false" ht="15" hidden="false" customHeight="false" outlineLevel="0" collapsed="false">
      <c r="A723" s="2" t="s">
        <v>247</v>
      </c>
      <c r="B723" s="2" t="s">
        <v>161</v>
      </c>
      <c r="C723" s="3" t="n">
        <v>46093</v>
      </c>
      <c r="D723" s="2" t="str">
        <f aca="false">TEXT(C723,"YYYY-MM")</f>
        <v>2026-03</v>
      </c>
      <c r="E723" s="2" t="s">
        <v>273</v>
      </c>
      <c r="F723" s="4" t="s">
        <v>137</v>
      </c>
      <c r="G723" s="5" t="n">
        <v>8800</v>
      </c>
      <c r="H723" s="4" t="s">
        <v>138</v>
      </c>
    </row>
    <row r="724" customFormat="false" ht="15" hidden="false" customHeight="false" outlineLevel="0" collapsed="false">
      <c r="A724" s="2" t="s">
        <v>247</v>
      </c>
      <c r="B724" s="2" t="s">
        <v>161</v>
      </c>
      <c r="C724" s="3" t="n">
        <v>46093</v>
      </c>
      <c r="D724" s="2" t="str">
        <f aca="false">TEXT(C724,"YYYY-MM")</f>
        <v>2026-03</v>
      </c>
      <c r="E724" s="4" t="s">
        <v>290</v>
      </c>
      <c r="F724" s="4" t="s">
        <v>87</v>
      </c>
      <c r="G724" s="5" t="n">
        <v>16500</v>
      </c>
      <c r="H724" s="4" t="s">
        <v>88</v>
      </c>
    </row>
    <row r="725" customFormat="false" ht="15" hidden="false" customHeight="false" outlineLevel="0" collapsed="false">
      <c r="A725" s="2" t="s">
        <v>247</v>
      </c>
      <c r="B725" s="2" t="s">
        <v>161</v>
      </c>
      <c r="C725" s="3" t="n">
        <v>46094</v>
      </c>
      <c r="D725" s="2" t="str">
        <f aca="false">TEXT(C725,"YYYY-MM")</f>
        <v>2026-03</v>
      </c>
      <c r="E725" s="4" t="s">
        <v>56</v>
      </c>
      <c r="F725" s="4" t="s">
        <v>22</v>
      </c>
      <c r="G725" s="5" t="n">
        <v>510</v>
      </c>
      <c r="H725" s="4" t="s">
        <v>42</v>
      </c>
    </row>
    <row r="726" customFormat="false" ht="15" hidden="false" customHeight="false" outlineLevel="0" collapsed="false">
      <c r="A726" s="2" t="s">
        <v>247</v>
      </c>
      <c r="B726" s="2" t="s">
        <v>161</v>
      </c>
      <c r="C726" s="3" t="n">
        <v>46094</v>
      </c>
      <c r="D726" s="2" t="str">
        <f aca="false">TEXT(C726,"YYYY-MM")</f>
        <v>2026-03</v>
      </c>
      <c r="E726" s="4" t="s">
        <v>321</v>
      </c>
      <c r="F726" s="4" t="s">
        <v>17</v>
      </c>
      <c r="G726" s="5" t="n">
        <v>2600</v>
      </c>
      <c r="H726" s="4" t="s">
        <v>18</v>
      </c>
    </row>
    <row r="727" customFormat="false" ht="15" hidden="false" customHeight="false" outlineLevel="0" collapsed="false">
      <c r="A727" s="2" t="s">
        <v>247</v>
      </c>
      <c r="B727" s="2" t="s">
        <v>161</v>
      </c>
      <c r="C727" s="3" t="n">
        <v>46094</v>
      </c>
      <c r="D727" s="2" t="str">
        <f aca="false">TEXT(C727,"YYYY-MM")</f>
        <v>2026-03</v>
      </c>
      <c r="E727" s="4" t="s">
        <v>322</v>
      </c>
      <c r="F727" s="4" t="s">
        <v>105</v>
      </c>
      <c r="G727" s="5" t="n">
        <v>857</v>
      </c>
      <c r="H727" s="2"/>
    </row>
    <row r="728" customFormat="false" ht="15" hidden="false" customHeight="false" outlineLevel="0" collapsed="false">
      <c r="A728" s="2" t="s">
        <v>247</v>
      </c>
      <c r="B728" s="2" t="s">
        <v>161</v>
      </c>
      <c r="C728" s="3" t="n">
        <v>46094</v>
      </c>
      <c r="D728" s="2" t="str">
        <f aca="false">TEXT(C728,"YYYY-MM")</f>
        <v>2026-03</v>
      </c>
      <c r="E728" s="4" t="s">
        <v>323</v>
      </c>
      <c r="F728" s="4" t="s">
        <v>22</v>
      </c>
      <c r="G728" s="5" t="n">
        <v>7210</v>
      </c>
      <c r="H728" s="2"/>
    </row>
    <row r="729" customFormat="false" ht="15" hidden="false" customHeight="false" outlineLevel="0" collapsed="false">
      <c r="A729" s="2" t="s">
        <v>247</v>
      </c>
      <c r="B729" s="2" t="s">
        <v>161</v>
      </c>
      <c r="C729" s="3" t="n">
        <v>46095</v>
      </c>
      <c r="D729" s="2" t="str">
        <f aca="false">TEXT(C729,"YYYY-MM")</f>
        <v>2026-03</v>
      </c>
      <c r="E729" s="4" t="s">
        <v>324</v>
      </c>
      <c r="F729" s="4" t="s">
        <v>105</v>
      </c>
      <c r="G729" s="5" t="n">
        <v>1219</v>
      </c>
      <c r="H729" s="2"/>
    </row>
    <row r="730" customFormat="false" ht="15" hidden="false" customHeight="false" outlineLevel="0" collapsed="false">
      <c r="A730" s="2" t="s">
        <v>247</v>
      </c>
      <c r="B730" s="2" t="s">
        <v>161</v>
      </c>
      <c r="C730" s="3" t="n">
        <v>46095</v>
      </c>
      <c r="D730" s="2" t="str">
        <f aca="false">TEXT(C730,"YYYY-MM")</f>
        <v>2026-03</v>
      </c>
      <c r="E730" s="4" t="s">
        <v>324</v>
      </c>
      <c r="F730" s="4" t="s">
        <v>105</v>
      </c>
      <c r="G730" s="5" t="n">
        <v>2442</v>
      </c>
      <c r="H730" s="2"/>
    </row>
    <row r="731" customFormat="false" ht="15" hidden="false" customHeight="false" outlineLevel="0" collapsed="false">
      <c r="A731" s="2" t="s">
        <v>247</v>
      </c>
      <c r="B731" s="2" t="s">
        <v>161</v>
      </c>
      <c r="C731" s="3" t="n">
        <v>46095</v>
      </c>
      <c r="D731" s="2" t="str">
        <f aca="false">TEXT(C731,"YYYY-MM")</f>
        <v>2026-03</v>
      </c>
      <c r="E731" s="2" t="s">
        <v>269</v>
      </c>
      <c r="F731" s="4" t="s">
        <v>17</v>
      </c>
      <c r="G731" s="5" t="n">
        <v>7693</v>
      </c>
      <c r="H731" s="4" t="s">
        <v>30</v>
      </c>
    </row>
    <row r="732" customFormat="false" ht="15" hidden="false" customHeight="false" outlineLevel="0" collapsed="false">
      <c r="A732" s="2" t="s">
        <v>247</v>
      </c>
      <c r="B732" s="2" t="s">
        <v>161</v>
      </c>
      <c r="C732" s="3" t="n">
        <v>46096</v>
      </c>
      <c r="D732" s="2" t="str">
        <f aca="false">TEXT(C732,"YYYY-MM")</f>
        <v>2026-03</v>
      </c>
      <c r="E732" s="4" t="s">
        <v>325</v>
      </c>
      <c r="F732" s="4" t="s">
        <v>22</v>
      </c>
      <c r="G732" s="5" t="n">
        <v>2450</v>
      </c>
      <c r="H732" s="2"/>
    </row>
    <row r="733" customFormat="false" ht="15" hidden="false" customHeight="false" outlineLevel="0" collapsed="false">
      <c r="A733" s="2" t="s">
        <v>247</v>
      </c>
      <c r="B733" s="2" t="s">
        <v>161</v>
      </c>
      <c r="C733" s="3" t="n">
        <v>46085</v>
      </c>
      <c r="D733" s="2" t="str">
        <f aca="false">TEXT(C733,"YYYY-MM")</f>
        <v>2026-03</v>
      </c>
      <c r="E733" s="2" t="s">
        <v>326</v>
      </c>
      <c r="F733" s="4" t="s">
        <v>28</v>
      </c>
      <c r="G733" s="5" t="n">
        <v>5009</v>
      </c>
      <c r="H733" s="4" t="s">
        <v>327</v>
      </c>
    </row>
    <row r="734" customFormat="false" ht="15" hidden="false" customHeight="false" outlineLevel="0" collapsed="false">
      <c r="A734" s="2" t="s">
        <v>247</v>
      </c>
      <c r="B734" s="2" t="s">
        <v>170</v>
      </c>
      <c r="C734" s="3" t="n">
        <v>46082</v>
      </c>
      <c r="D734" s="2" t="str">
        <f aca="false">TEXT(C734,"YYYY-MM")</f>
        <v>2026-03</v>
      </c>
      <c r="E734" s="2" t="s">
        <v>24</v>
      </c>
      <c r="F734" s="4" t="s">
        <v>17</v>
      </c>
      <c r="G734" s="5" t="n">
        <v>300</v>
      </c>
      <c r="H734" s="2"/>
    </row>
    <row r="735" customFormat="false" ht="15" hidden="false" customHeight="false" outlineLevel="0" collapsed="false">
      <c r="A735" s="2" t="s">
        <v>247</v>
      </c>
      <c r="B735" s="2" t="s">
        <v>170</v>
      </c>
      <c r="C735" s="3" t="n">
        <v>46082</v>
      </c>
      <c r="D735" s="2" t="str">
        <f aca="false">TEXT(C735,"YYYY-MM")</f>
        <v>2026-03</v>
      </c>
      <c r="E735" s="2" t="s">
        <v>24</v>
      </c>
      <c r="F735" s="4" t="s">
        <v>17</v>
      </c>
      <c r="G735" s="5" t="n">
        <v>300</v>
      </c>
      <c r="H735" s="2"/>
    </row>
    <row r="736" customFormat="false" ht="15" hidden="false" customHeight="false" outlineLevel="0" collapsed="false">
      <c r="A736" s="2" t="s">
        <v>247</v>
      </c>
      <c r="B736" s="2" t="s">
        <v>170</v>
      </c>
      <c r="C736" s="3" t="n">
        <v>46082</v>
      </c>
      <c r="D736" s="2" t="str">
        <f aca="false">TEXT(C736,"YYYY-MM")</f>
        <v>2026-03</v>
      </c>
      <c r="E736" s="4" t="s">
        <v>328</v>
      </c>
      <c r="F736" s="4" t="s">
        <v>17</v>
      </c>
      <c r="G736" s="5" t="n">
        <v>420</v>
      </c>
      <c r="H736" s="2"/>
    </row>
    <row r="737" customFormat="false" ht="15" hidden="false" customHeight="false" outlineLevel="0" collapsed="false">
      <c r="A737" s="2" t="s">
        <v>247</v>
      </c>
      <c r="B737" s="2" t="s">
        <v>170</v>
      </c>
      <c r="C737" s="3" t="n">
        <v>46082</v>
      </c>
      <c r="D737" s="2" t="str">
        <f aca="false">TEXT(C737,"YYYY-MM")</f>
        <v>2026-03</v>
      </c>
      <c r="E737" s="4" t="s">
        <v>328</v>
      </c>
      <c r="F737" s="4" t="s">
        <v>17</v>
      </c>
      <c r="G737" s="5" t="n">
        <v>420</v>
      </c>
      <c r="H737" s="2"/>
    </row>
    <row r="738" customFormat="false" ht="15" hidden="false" customHeight="false" outlineLevel="0" collapsed="false">
      <c r="A738" s="2" t="s">
        <v>247</v>
      </c>
      <c r="B738" s="2" t="s">
        <v>170</v>
      </c>
      <c r="C738" s="3" t="n">
        <v>46088</v>
      </c>
      <c r="D738" s="2" t="str">
        <f aca="false">TEXT(C738,"YYYY-MM")</f>
        <v>2026-03</v>
      </c>
      <c r="E738" s="2" t="s">
        <v>24</v>
      </c>
      <c r="F738" s="4" t="s">
        <v>17</v>
      </c>
      <c r="G738" s="5" t="n">
        <v>300</v>
      </c>
      <c r="H738" s="2"/>
    </row>
    <row r="739" customFormat="false" ht="15" hidden="false" customHeight="false" outlineLevel="0" collapsed="false">
      <c r="A739" s="2" t="s">
        <v>247</v>
      </c>
      <c r="B739" s="2" t="s">
        <v>170</v>
      </c>
      <c r="C739" s="3" t="n">
        <v>46088</v>
      </c>
      <c r="D739" s="2" t="str">
        <f aca="false">TEXT(C739,"YYYY-MM")</f>
        <v>2026-03</v>
      </c>
      <c r="E739" s="2" t="s">
        <v>24</v>
      </c>
      <c r="F739" s="4" t="s">
        <v>17</v>
      </c>
      <c r="G739" s="5" t="n">
        <v>770</v>
      </c>
      <c r="H739" s="2"/>
    </row>
    <row r="740" customFormat="false" ht="15" hidden="false" customHeight="false" outlineLevel="0" collapsed="false">
      <c r="A740" s="2" t="s">
        <v>247</v>
      </c>
      <c r="B740" s="2" t="s">
        <v>170</v>
      </c>
      <c r="C740" s="3" t="n">
        <v>46088</v>
      </c>
      <c r="D740" s="2" t="str">
        <f aca="false">TEXT(C740,"YYYY-MM")</f>
        <v>2026-03</v>
      </c>
      <c r="E740" s="2" t="s">
        <v>24</v>
      </c>
      <c r="F740" s="4" t="s">
        <v>17</v>
      </c>
      <c r="G740" s="5" t="n">
        <v>720</v>
      </c>
      <c r="H740" s="2"/>
    </row>
    <row r="741" customFormat="false" ht="15" hidden="false" customHeight="false" outlineLevel="0" collapsed="false">
      <c r="A741" s="2" t="s">
        <v>247</v>
      </c>
      <c r="B741" s="2" t="s">
        <v>170</v>
      </c>
      <c r="C741" s="3" t="n">
        <v>46088</v>
      </c>
      <c r="D741" s="2" t="str">
        <f aca="false">TEXT(C741,"YYYY-MM")</f>
        <v>2026-03</v>
      </c>
      <c r="E741" s="2" t="s">
        <v>24</v>
      </c>
      <c r="F741" s="4" t="s">
        <v>17</v>
      </c>
      <c r="G741" s="5" t="n">
        <v>300</v>
      </c>
      <c r="H741" s="2"/>
    </row>
    <row r="742" customFormat="false" ht="15" hidden="false" customHeight="false" outlineLevel="0" collapsed="false">
      <c r="A742" s="2" t="s">
        <v>247</v>
      </c>
      <c r="B742" s="2" t="s">
        <v>170</v>
      </c>
      <c r="C742" s="3" t="n">
        <v>46088</v>
      </c>
      <c r="D742" s="2" t="str">
        <f aca="false">TEXT(C742,"YYYY-MM")</f>
        <v>2026-03</v>
      </c>
      <c r="E742" s="4" t="s">
        <v>328</v>
      </c>
      <c r="F742" s="4" t="s">
        <v>17</v>
      </c>
      <c r="G742" s="5" t="n">
        <v>630</v>
      </c>
      <c r="H742" s="2"/>
    </row>
    <row r="743" customFormat="false" ht="15" hidden="false" customHeight="false" outlineLevel="0" collapsed="false">
      <c r="A743" s="2" t="s">
        <v>247</v>
      </c>
      <c r="B743" s="2" t="s">
        <v>170</v>
      </c>
      <c r="C743" s="3" t="n">
        <v>46088</v>
      </c>
      <c r="D743" s="2" t="str">
        <f aca="false">TEXT(C743,"YYYY-MM")</f>
        <v>2026-03</v>
      </c>
      <c r="E743" s="4" t="s">
        <v>328</v>
      </c>
      <c r="F743" s="4" t="s">
        <v>17</v>
      </c>
      <c r="G743" s="5" t="n">
        <v>630</v>
      </c>
      <c r="H743" s="2"/>
    </row>
    <row r="744" customFormat="false" ht="15" hidden="false" customHeight="false" outlineLevel="0" collapsed="false">
      <c r="A744" s="2" t="s">
        <v>247</v>
      </c>
      <c r="B744" s="2" t="s">
        <v>170</v>
      </c>
      <c r="C744" s="3" t="n">
        <v>46097</v>
      </c>
      <c r="D744" s="2" t="str">
        <f aca="false">TEXT(C744,"YYYY-MM")</f>
        <v>2026-03</v>
      </c>
      <c r="E744" s="2" t="s">
        <v>248</v>
      </c>
      <c r="F744" s="4" t="s">
        <v>37</v>
      </c>
      <c r="G744" s="5" t="n">
        <v>5280</v>
      </c>
      <c r="H744" s="2"/>
    </row>
    <row r="745" customFormat="false" ht="15" hidden="false" customHeight="false" outlineLevel="0" collapsed="false">
      <c r="A745" s="2" t="s">
        <v>247</v>
      </c>
      <c r="B745" s="2" t="s">
        <v>170</v>
      </c>
      <c r="C745" s="3" t="n">
        <v>46097</v>
      </c>
      <c r="D745" s="2" t="str">
        <f aca="false">TEXT(C745,"YYYY-MM")</f>
        <v>2026-03</v>
      </c>
      <c r="E745" s="4" t="s">
        <v>128</v>
      </c>
      <c r="F745" s="4" t="s">
        <v>22</v>
      </c>
      <c r="G745" s="5" t="n">
        <v>1580</v>
      </c>
      <c r="H745" s="2"/>
    </row>
    <row r="746" customFormat="false" ht="15" hidden="false" customHeight="false" outlineLevel="0" collapsed="false">
      <c r="A746" s="2" t="s">
        <v>247</v>
      </c>
      <c r="B746" s="2" t="s">
        <v>170</v>
      </c>
      <c r="C746" s="3" t="n">
        <v>46097</v>
      </c>
      <c r="D746" s="2" t="str">
        <f aca="false">TEXT(C746,"YYYY-MM")</f>
        <v>2026-03</v>
      </c>
      <c r="E746" s="2" t="s">
        <v>24</v>
      </c>
      <c r="F746" s="4" t="s">
        <v>17</v>
      </c>
      <c r="G746" s="5" t="n">
        <v>560</v>
      </c>
      <c r="H746" s="2"/>
    </row>
    <row r="747" customFormat="false" ht="15" hidden="false" customHeight="false" outlineLevel="0" collapsed="false">
      <c r="A747" s="2" t="s">
        <v>247</v>
      </c>
      <c r="B747" s="2" t="s">
        <v>170</v>
      </c>
      <c r="C747" s="3" t="n">
        <v>46097</v>
      </c>
      <c r="D747" s="2" t="str">
        <f aca="false">TEXT(C747,"YYYY-MM")</f>
        <v>2026-03</v>
      </c>
      <c r="E747" s="2" t="s">
        <v>24</v>
      </c>
      <c r="F747" s="4" t="s">
        <v>17</v>
      </c>
      <c r="G747" s="5" t="n">
        <v>560</v>
      </c>
      <c r="H747" s="2"/>
    </row>
    <row r="748" customFormat="false" ht="15" hidden="false" customHeight="false" outlineLevel="0" collapsed="false">
      <c r="A748" s="2" t="s">
        <v>247</v>
      </c>
      <c r="B748" s="2" t="s">
        <v>170</v>
      </c>
      <c r="C748" s="3" t="n">
        <v>46097</v>
      </c>
      <c r="D748" s="2" t="str">
        <f aca="false">TEXT(C748,"YYYY-MM")</f>
        <v>2026-03</v>
      </c>
      <c r="E748" s="2" t="s">
        <v>329</v>
      </c>
      <c r="F748" s="4" t="s">
        <v>17</v>
      </c>
      <c r="G748" s="5" t="n">
        <v>600</v>
      </c>
      <c r="H748" s="2"/>
    </row>
    <row r="749" customFormat="false" ht="15" hidden="false" customHeight="false" outlineLevel="0" collapsed="false">
      <c r="A749" s="2" t="s">
        <v>247</v>
      </c>
      <c r="B749" s="2" t="s">
        <v>170</v>
      </c>
      <c r="C749" s="3" t="n">
        <v>46097</v>
      </c>
      <c r="D749" s="2" t="str">
        <f aca="false">TEXT(C749,"YYYY-MM")</f>
        <v>2026-03</v>
      </c>
      <c r="E749" s="2" t="s">
        <v>329</v>
      </c>
      <c r="F749" s="4" t="s">
        <v>17</v>
      </c>
      <c r="G749" s="5" t="n">
        <v>600</v>
      </c>
      <c r="H749" s="2"/>
    </row>
    <row r="750" customFormat="false" ht="15" hidden="false" customHeight="false" outlineLevel="0" collapsed="false">
      <c r="A750" s="2" t="s">
        <v>247</v>
      </c>
      <c r="B750" s="2" t="s">
        <v>170</v>
      </c>
      <c r="C750" s="3" t="n">
        <v>46097</v>
      </c>
      <c r="D750" s="2" t="str">
        <f aca="false">TEXT(C750,"YYYY-MM")</f>
        <v>2026-03</v>
      </c>
      <c r="E750" s="4" t="s">
        <v>330</v>
      </c>
      <c r="F750" s="4" t="s">
        <v>22</v>
      </c>
      <c r="G750" s="5" t="n">
        <v>905</v>
      </c>
      <c r="H750" s="4" t="s">
        <v>42</v>
      </c>
    </row>
    <row r="751" customFormat="false" ht="15" hidden="false" customHeight="false" outlineLevel="0" collapsed="false">
      <c r="A751" s="2" t="s">
        <v>247</v>
      </c>
      <c r="B751" s="2" t="s">
        <v>170</v>
      </c>
      <c r="C751" s="3" t="n">
        <v>46098</v>
      </c>
      <c r="D751" s="2" t="str">
        <f aca="false">TEXT(C751,"YYYY-MM")</f>
        <v>2026-03</v>
      </c>
      <c r="E751" s="2" t="s">
        <v>248</v>
      </c>
      <c r="F751" s="4" t="s">
        <v>37</v>
      </c>
      <c r="G751" s="5" t="n">
        <v>9900</v>
      </c>
      <c r="H751" s="2"/>
    </row>
    <row r="752" customFormat="false" ht="15" hidden="false" customHeight="false" outlineLevel="0" collapsed="false">
      <c r="A752" s="2" t="s">
        <v>247</v>
      </c>
      <c r="B752" s="2" t="s">
        <v>170</v>
      </c>
      <c r="C752" s="3" t="n">
        <v>46098</v>
      </c>
      <c r="D752" s="2" t="str">
        <f aca="false">TEXT(C752,"YYYY-MM")</f>
        <v>2026-03</v>
      </c>
      <c r="E752" s="2" t="s">
        <v>248</v>
      </c>
      <c r="F752" s="4" t="s">
        <v>37</v>
      </c>
      <c r="G752" s="5" t="n">
        <v>1440</v>
      </c>
      <c r="H752" s="2"/>
    </row>
    <row r="753" customFormat="false" ht="15" hidden="false" customHeight="false" outlineLevel="0" collapsed="false">
      <c r="A753" s="2" t="s">
        <v>247</v>
      </c>
      <c r="B753" s="2" t="s">
        <v>170</v>
      </c>
      <c r="C753" s="3" t="n">
        <v>46098</v>
      </c>
      <c r="D753" s="2" t="str">
        <f aca="false">TEXT(C753,"YYYY-MM")</f>
        <v>2026-03</v>
      </c>
      <c r="E753" s="4" t="s">
        <v>128</v>
      </c>
      <c r="F753" s="4" t="s">
        <v>22</v>
      </c>
      <c r="G753" s="5" t="n">
        <v>1910</v>
      </c>
      <c r="H753" s="2"/>
    </row>
    <row r="754" customFormat="false" ht="15" hidden="false" customHeight="false" outlineLevel="0" collapsed="false">
      <c r="A754" s="2" t="s">
        <v>247</v>
      </c>
      <c r="B754" s="2" t="s">
        <v>170</v>
      </c>
      <c r="C754" s="3" t="n">
        <v>46098</v>
      </c>
      <c r="D754" s="2" t="str">
        <f aca="false">TEXT(C754,"YYYY-MM")</f>
        <v>2026-03</v>
      </c>
      <c r="E754" s="4" t="s">
        <v>262</v>
      </c>
      <c r="F754" s="4" t="s">
        <v>17</v>
      </c>
      <c r="G754" s="5" t="n">
        <v>300</v>
      </c>
      <c r="H754" s="4" t="s">
        <v>18</v>
      </c>
    </row>
    <row r="755" customFormat="false" ht="15" hidden="false" customHeight="false" outlineLevel="0" collapsed="false">
      <c r="A755" s="2" t="s">
        <v>247</v>
      </c>
      <c r="B755" s="2" t="s">
        <v>170</v>
      </c>
      <c r="C755" s="3" t="n">
        <v>46098</v>
      </c>
      <c r="D755" s="2" t="str">
        <f aca="false">TEXT(C755,"YYYY-MM")</f>
        <v>2026-03</v>
      </c>
      <c r="E755" s="4" t="s">
        <v>331</v>
      </c>
      <c r="F755" s="4" t="s">
        <v>28</v>
      </c>
      <c r="G755" s="5" t="n">
        <v>4070</v>
      </c>
      <c r="H755" s="4" t="s">
        <v>332</v>
      </c>
    </row>
    <row r="756" customFormat="false" ht="15" hidden="false" customHeight="false" outlineLevel="0" collapsed="false">
      <c r="A756" s="2" t="s">
        <v>247</v>
      </c>
      <c r="B756" s="2" t="s">
        <v>170</v>
      </c>
      <c r="C756" s="3" t="n">
        <v>46099</v>
      </c>
      <c r="D756" s="2" t="str">
        <f aca="false">TEXT(C756,"YYYY-MM")</f>
        <v>2026-03</v>
      </c>
      <c r="E756" s="2" t="s">
        <v>248</v>
      </c>
      <c r="F756" s="4" t="s">
        <v>37</v>
      </c>
      <c r="G756" s="5" t="n">
        <v>64150</v>
      </c>
      <c r="H756" s="2"/>
    </row>
    <row r="757" customFormat="false" ht="15" hidden="false" customHeight="false" outlineLevel="0" collapsed="false">
      <c r="A757" s="2" t="s">
        <v>247</v>
      </c>
      <c r="B757" s="2" t="s">
        <v>170</v>
      </c>
      <c r="C757" s="3" t="n">
        <v>46099</v>
      </c>
      <c r="D757" s="2" t="str">
        <f aca="false">TEXT(C757,"YYYY-MM")</f>
        <v>2026-03</v>
      </c>
      <c r="E757" s="2" t="s">
        <v>248</v>
      </c>
      <c r="F757" s="4" t="s">
        <v>37</v>
      </c>
      <c r="G757" s="5" t="n">
        <v>5680</v>
      </c>
      <c r="H757" s="2"/>
    </row>
    <row r="758" customFormat="false" ht="15" hidden="false" customHeight="false" outlineLevel="0" collapsed="false">
      <c r="A758" s="2" t="s">
        <v>247</v>
      </c>
      <c r="B758" s="2" t="s">
        <v>170</v>
      </c>
      <c r="C758" s="3" t="n">
        <v>46099</v>
      </c>
      <c r="D758" s="2" t="str">
        <f aca="false">TEXT(C758,"YYYY-MM")</f>
        <v>2026-03</v>
      </c>
      <c r="E758" s="2" t="s">
        <v>248</v>
      </c>
      <c r="F758" s="4" t="s">
        <v>37</v>
      </c>
      <c r="G758" s="5" t="n">
        <v>51847</v>
      </c>
      <c r="H758" s="2"/>
    </row>
    <row r="759" customFormat="false" ht="15" hidden="false" customHeight="false" outlineLevel="0" collapsed="false">
      <c r="A759" s="2" t="s">
        <v>247</v>
      </c>
      <c r="B759" s="2" t="s">
        <v>170</v>
      </c>
      <c r="C759" s="3" t="n">
        <v>46099</v>
      </c>
      <c r="D759" s="2" t="str">
        <f aca="false">TEXT(C759,"YYYY-MM")</f>
        <v>2026-03</v>
      </c>
      <c r="E759" s="2" t="s">
        <v>248</v>
      </c>
      <c r="F759" s="4" t="s">
        <v>37</v>
      </c>
      <c r="G759" s="5" t="n">
        <v>1592</v>
      </c>
      <c r="H759" s="2"/>
    </row>
    <row r="760" customFormat="false" ht="15" hidden="false" customHeight="false" outlineLevel="0" collapsed="false">
      <c r="A760" s="2" t="s">
        <v>247</v>
      </c>
      <c r="B760" s="2" t="s">
        <v>170</v>
      </c>
      <c r="C760" s="3" t="n">
        <v>46099</v>
      </c>
      <c r="D760" s="2" t="str">
        <f aca="false">TEXT(C760,"YYYY-MM")</f>
        <v>2026-03</v>
      </c>
      <c r="E760" s="4" t="s">
        <v>128</v>
      </c>
      <c r="F760" s="4" t="s">
        <v>22</v>
      </c>
      <c r="G760" s="5" t="n">
        <v>1380</v>
      </c>
      <c r="H760" s="2"/>
    </row>
    <row r="761" customFormat="false" ht="15" hidden="false" customHeight="false" outlineLevel="0" collapsed="false">
      <c r="A761" s="2" t="s">
        <v>247</v>
      </c>
      <c r="B761" s="2" t="s">
        <v>170</v>
      </c>
      <c r="C761" s="3" t="n">
        <v>46099</v>
      </c>
      <c r="D761" s="2" t="str">
        <f aca="false">TEXT(C761,"YYYY-MM")</f>
        <v>2026-03</v>
      </c>
      <c r="E761" s="4" t="s">
        <v>129</v>
      </c>
      <c r="F761" s="4" t="s">
        <v>105</v>
      </c>
      <c r="G761" s="5" t="n">
        <v>521</v>
      </c>
      <c r="H761" s="2"/>
    </row>
    <row r="762" customFormat="false" ht="15" hidden="false" customHeight="false" outlineLevel="0" collapsed="false">
      <c r="A762" s="2" t="s">
        <v>247</v>
      </c>
      <c r="B762" s="2" t="s">
        <v>170</v>
      </c>
      <c r="C762" s="3" t="n">
        <v>46100</v>
      </c>
      <c r="D762" s="2" t="str">
        <f aca="false">TEXT(C762,"YYYY-MM")</f>
        <v>2026-03</v>
      </c>
      <c r="E762" s="4" t="s">
        <v>333</v>
      </c>
      <c r="F762" s="4" t="s">
        <v>28</v>
      </c>
      <c r="G762" s="5" t="n">
        <v>800</v>
      </c>
      <c r="H762" s="2"/>
    </row>
    <row r="763" customFormat="false" ht="15" hidden="false" customHeight="false" outlineLevel="0" collapsed="false">
      <c r="A763" s="2" t="s">
        <v>247</v>
      </c>
      <c r="B763" s="2" t="s">
        <v>170</v>
      </c>
      <c r="C763" s="3" t="n">
        <v>46100</v>
      </c>
      <c r="D763" s="2" t="str">
        <f aca="false">TEXT(C763,"YYYY-MM")</f>
        <v>2026-03</v>
      </c>
      <c r="E763" s="2" t="s">
        <v>248</v>
      </c>
      <c r="F763" s="4" t="s">
        <v>37</v>
      </c>
      <c r="G763" s="5" t="n">
        <v>4300</v>
      </c>
      <c r="H763" s="2"/>
    </row>
    <row r="764" customFormat="false" ht="15" hidden="false" customHeight="false" outlineLevel="0" collapsed="false">
      <c r="A764" s="2" t="s">
        <v>247</v>
      </c>
      <c r="B764" s="2" t="s">
        <v>170</v>
      </c>
      <c r="C764" s="3" t="n">
        <v>46100</v>
      </c>
      <c r="D764" s="2" t="str">
        <f aca="false">TEXT(C764,"YYYY-MM")</f>
        <v>2026-03</v>
      </c>
      <c r="E764" s="2" t="s">
        <v>248</v>
      </c>
      <c r="F764" s="4" t="s">
        <v>37</v>
      </c>
      <c r="G764" s="5" t="n">
        <v>5480</v>
      </c>
      <c r="H764" s="2"/>
    </row>
    <row r="765" customFormat="false" ht="15" hidden="false" customHeight="false" outlineLevel="0" collapsed="false">
      <c r="A765" s="2" t="s">
        <v>247</v>
      </c>
      <c r="B765" s="2" t="s">
        <v>170</v>
      </c>
      <c r="C765" s="3" t="n">
        <v>46100</v>
      </c>
      <c r="D765" s="2" t="str">
        <f aca="false">TEXT(C765,"YYYY-MM")</f>
        <v>2026-03</v>
      </c>
      <c r="E765" s="2" t="s">
        <v>248</v>
      </c>
      <c r="F765" s="4" t="s">
        <v>37</v>
      </c>
      <c r="G765" s="5" t="n">
        <v>129698</v>
      </c>
      <c r="H765" s="4" t="s">
        <v>334</v>
      </c>
    </row>
    <row r="766" customFormat="false" ht="15" hidden="false" customHeight="false" outlineLevel="0" collapsed="false">
      <c r="A766" s="2" t="s">
        <v>247</v>
      </c>
      <c r="B766" s="2" t="s">
        <v>170</v>
      </c>
      <c r="C766" s="3" t="n">
        <v>46100</v>
      </c>
      <c r="D766" s="2" t="str">
        <f aca="false">TEXT(C766,"YYYY-MM")</f>
        <v>2026-03</v>
      </c>
      <c r="E766" s="2" t="s">
        <v>248</v>
      </c>
      <c r="F766" s="4" t="s">
        <v>37</v>
      </c>
      <c r="G766" s="5" t="n">
        <v>80000</v>
      </c>
      <c r="H766" s="4" t="s">
        <v>334</v>
      </c>
    </row>
    <row r="767" customFormat="false" ht="15" hidden="false" customHeight="false" outlineLevel="0" collapsed="false">
      <c r="A767" s="2" t="s">
        <v>247</v>
      </c>
      <c r="B767" s="2" t="s">
        <v>170</v>
      </c>
      <c r="C767" s="3" t="n">
        <v>46100</v>
      </c>
      <c r="D767" s="2" t="str">
        <f aca="false">TEXT(C767,"YYYY-MM")</f>
        <v>2026-03</v>
      </c>
      <c r="E767" s="4" t="s">
        <v>335</v>
      </c>
      <c r="F767" s="4" t="s">
        <v>22</v>
      </c>
      <c r="G767" s="5" t="n">
        <v>1428</v>
      </c>
      <c r="H767" s="2"/>
    </row>
    <row r="768" customFormat="false" ht="15" hidden="false" customHeight="false" outlineLevel="0" collapsed="false">
      <c r="A768" s="2" t="s">
        <v>247</v>
      </c>
      <c r="B768" s="2" t="s">
        <v>170</v>
      </c>
      <c r="C768" s="3" t="n">
        <v>46100</v>
      </c>
      <c r="D768" s="2" t="str">
        <f aca="false">TEXT(C768,"YYYY-MM")</f>
        <v>2026-03</v>
      </c>
      <c r="E768" s="4" t="s">
        <v>336</v>
      </c>
      <c r="F768" s="4" t="s">
        <v>37</v>
      </c>
      <c r="G768" s="5" t="n">
        <v>269560</v>
      </c>
      <c r="H768" s="4" t="s">
        <v>337</v>
      </c>
    </row>
    <row r="769" customFormat="false" ht="15" hidden="false" customHeight="false" outlineLevel="0" collapsed="false">
      <c r="A769" s="2" t="s">
        <v>247</v>
      </c>
      <c r="B769" s="2" t="s">
        <v>170</v>
      </c>
      <c r="C769" s="3" t="n">
        <v>46100</v>
      </c>
      <c r="D769" s="2" t="str">
        <f aca="false">TEXT(C769,"YYYY-MM")</f>
        <v>2026-03</v>
      </c>
      <c r="E769" s="4" t="s">
        <v>338</v>
      </c>
      <c r="F769" s="4" t="s">
        <v>28</v>
      </c>
      <c r="G769" s="5" t="n">
        <v>16720</v>
      </c>
      <c r="H769" s="4" t="s">
        <v>204</v>
      </c>
    </row>
    <row r="770" customFormat="false" ht="15" hidden="false" customHeight="false" outlineLevel="0" collapsed="false">
      <c r="A770" s="2" t="s">
        <v>247</v>
      </c>
      <c r="B770" s="2" t="s">
        <v>170</v>
      </c>
      <c r="C770" s="3" t="n">
        <v>46100</v>
      </c>
      <c r="D770" s="2" t="str">
        <f aca="false">TEXT(C770,"YYYY-MM")</f>
        <v>2026-03</v>
      </c>
      <c r="E770" s="4" t="s">
        <v>129</v>
      </c>
      <c r="F770" s="4" t="s">
        <v>105</v>
      </c>
      <c r="G770" s="5" t="n">
        <v>826</v>
      </c>
      <c r="H770" s="2"/>
    </row>
    <row r="771" customFormat="false" ht="15" hidden="false" customHeight="false" outlineLevel="0" collapsed="false">
      <c r="A771" s="2" t="s">
        <v>247</v>
      </c>
      <c r="B771" s="2" t="s">
        <v>170</v>
      </c>
      <c r="C771" s="3" t="n">
        <v>46101</v>
      </c>
      <c r="D771" s="2" t="str">
        <f aca="false">TEXT(C771,"YYYY-MM")</f>
        <v>2026-03</v>
      </c>
      <c r="E771" s="2" t="s">
        <v>339</v>
      </c>
      <c r="F771" s="4" t="s">
        <v>28</v>
      </c>
      <c r="G771" s="5" t="n">
        <v>620</v>
      </c>
      <c r="H771" s="2"/>
    </row>
    <row r="772" customFormat="false" ht="15" hidden="false" customHeight="false" outlineLevel="0" collapsed="false">
      <c r="A772" s="2" t="s">
        <v>247</v>
      </c>
      <c r="B772" s="2" t="s">
        <v>170</v>
      </c>
      <c r="C772" s="3" t="n">
        <v>46101</v>
      </c>
      <c r="D772" s="2" t="str">
        <f aca="false">TEXT(C772,"YYYY-MM")</f>
        <v>2026-03</v>
      </c>
      <c r="E772" s="2" t="s">
        <v>339</v>
      </c>
      <c r="F772" s="4" t="s">
        <v>28</v>
      </c>
      <c r="G772" s="5" t="n">
        <v>970</v>
      </c>
      <c r="H772" s="2"/>
    </row>
    <row r="773" customFormat="false" ht="15" hidden="false" customHeight="false" outlineLevel="0" collapsed="false">
      <c r="A773" s="2" t="s">
        <v>247</v>
      </c>
      <c r="B773" s="2" t="s">
        <v>170</v>
      </c>
      <c r="C773" s="3" t="n">
        <v>46102</v>
      </c>
      <c r="D773" s="2" t="str">
        <f aca="false">TEXT(C773,"YYYY-MM")</f>
        <v>2026-03</v>
      </c>
      <c r="E773" s="4" t="s">
        <v>340</v>
      </c>
      <c r="F773" s="4" t="s">
        <v>13</v>
      </c>
      <c r="G773" s="5" t="n">
        <v>1700</v>
      </c>
      <c r="H773" s="4" t="s">
        <v>74</v>
      </c>
    </row>
    <row r="774" customFormat="false" ht="15" hidden="false" customHeight="false" outlineLevel="0" collapsed="false">
      <c r="A774" s="2" t="s">
        <v>247</v>
      </c>
      <c r="B774" s="2" t="s">
        <v>170</v>
      </c>
      <c r="C774" s="3" t="n">
        <v>46103</v>
      </c>
      <c r="D774" s="2" t="str">
        <f aca="false">TEXT(C774,"YYYY-MM")</f>
        <v>2026-03</v>
      </c>
      <c r="E774" s="4" t="s">
        <v>341</v>
      </c>
      <c r="F774" s="4" t="s">
        <v>17</v>
      </c>
      <c r="G774" s="5" t="n">
        <v>1980</v>
      </c>
      <c r="H774" s="4" t="s">
        <v>18</v>
      </c>
    </row>
    <row r="775" customFormat="false" ht="15" hidden="false" customHeight="false" outlineLevel="0" collapsed="false">
      <c r="A775" s="2" t="s">
        <v>247</v>
      </c>
      <c r="B775" s="2" t="s">
        <v>170</v>
      </c>
      <c r="C775" s="3" t="n">
        <v>46103</v>
      </c>
      <c r="D775" s="2" t="str">
        <f aca="false">TEXT(C775,"YYYY-MM")</f>
        <v>2026-03</v>
      </c>
      <c r="E775" s="4" t="s">
        <v>342</v>
      </c>
      <c r="F775" s="4" t="s">
        <v>137</v>
      </c>
      <c r="G775" s="5" t="n">
        <v>11140</v>
      </c>
      <c r="H775" s="4" t="s">
        <v>229</v>
      </c>
    </row>
    <row r="776" customFormat="false" ht="15" hidden="false" customHeight="false" outlineLevel="0" collapsed="false">
      <c r="A776" s="2" t="s">
        <v>247</v>
      </c>
      <c r="B776" s="2" t="s">
        <v>170</v>
      </c>
      <c r="C776" s="3" t="n">
        <v>46103</v>
      </c>
      <c r="D776" s="2" t="str">
        <f aca="false">TEXT(C776,"YYYY-MM")</f>
        <v>2026-03</v>
      </c>
      <c r="E776" s="2" t="s">
        <v>24</v>
      </c>
      <c r="F776" s="4" t="s">
        <v>17</v>
      </c>
      <c r="G776" s="5" t="n">
        <v>630</v>
      </c>
      <c r="H776" s="2"/>
    </row>
    <row r="777" customFormat="false" ht="15" hidden="false" customHeight="false" outlineLevel="0" collapsed="false">
      <c r="A777" s="2" t="s">
        <v>247</v>
      </c>
      <c r="B777" s="2" t="s">
        <v>170</v>
      </c>
      <c r="C777" s="3" t="n">
        <v>46103</v>
      </c>
      <c r="D777" s="2" t="str">
        <f aca="false">TEXT(C777,"YYYY-MM")</f>
        <v>2026-03</v>
      </c>
      <c r="E777" s="2" t="s">
        <v>24</v>
      </c>
      <c r="F777" s="4" t="s">
        <v>17</v>
      </c>
      <c r="G777" s="5" t="n">
        <v>690</v>
      </c>
      <c r="H777" s="2"/>
    </row>
    <row r="778" customFormat="false" ht="15" hidden="false" customHeight="false" outlineLevel="0" collapsed="false">
      <c r="A778" s="2" t="s">
        <v>247</v>
      </c>
      <c r="B778" s="2" t="s">
        <v>170</v>
      </c>
      <c r="C778" s="3" t="n">
        <v>46104</v>
      </c>
      <c r="D778" s="2" t="str">
        <f aca="false">TEXT(C778,"YYYY-MM")</f>
        <v>2026-03</v>
      </c>
      <c r="E778" s="4" t="s">
        <v>343</v>
      </c>
      <c r="F778" s="4" t="s">
        <v>37</v>
      </c>
      <c r="G778" s="5" t="n">
        <v>20783</v>
      </c>
      <c r="H778" s="2"/>
    </row>
    <row r="779" customFormat="false" ht="15" hidden="false" customHeight="false" outlineLevel="0" collapsed="false">
      <c r="A779" s="2" t="s">
        <v>247</v>
      </c>
      <c r="B779" s="2" t="s">
        <v>170</v>
      </c>
      <c r="C779" s="3" t="n">
        <v>46104</v>
      </c>
      <c r="D779" s="2" t="str">
        <f aca="false">TEXT(C779,"YYYY-MM")</f>
        <v>2026-03</v>
      </c>
      <c r="E779" s="4" t="s">
        <v>344</v>
      </c>
      <c r="F779" s="4" t="s">
        <v>13</v>
      </c>
      <c r="G779" s="5" t="n">
        <v>1600</v>
      </c>
      <c r="H779" s="4" t="s">
        <v>74</v>
      </c>
    </row>
    <row r="780" customFormat="false" ht="15" hidden="false" customHeight="false" outlineLevel="0" collapsed="false">
      <c r="A780" s="2" t="s">
        <v>247</v>
      </c>
      <c r="B780" s="2" t="s">
        <v>170</v>
      </c>
      <c r="C780" s="3" t="n">
        <v>46105</v>
      </c>
      <c r="D780" s="2" t="str">
        <f aca="false">TEXT(C780,"YYYY-MM")</f>
        <v>2026-03</v>
      </c>
      <c r="E780" s="4" t="s">
        <v>167</v>
      </c>
      <c r="F780" s="4" t="s">
        <v>62</v>
      </c>
      <c r="G780" s="5" t="n">
        <v>109189</v>
      </c>
      <c r="H780" s="2"/>
    </row>
    <row r="781" customFormat="false" ht="15" hidden="false" customHeight="false" outlineLevel="0" collapsed="false">
      <c r="A781" s="2" t="s">
        <v>247</v>
      </c>
      <c r="B781" s="2" t="s">
        <v>170</v>
      </c>
      <c r="C781" s="3" t="n">
        <v>46105</v>
      </c>
      <c r="D781" s="2" t="str">
        <f aca="false">TEXT(C781,"YYYY-MM")</f>
        <v>2026-03</v>
      </c>
      <c r="E781" s="2" t="s">
        <v>164</v>
      </c>
      <c r="F781" s="4" t="s">
        <v>22</v>
      </c>
      <c r="G781" s="5" t="n">
        <v>1860</v>
      </c>
      <c r="H781" s="4" t="s">
        <v>42</v>
      </c>
    </row>
    <row r="782" customFormat="false" ht="15" hidden="false" customHeight="false" outlineLevel="0" collapsed="false">
      <c r="A782" s="2" t="s">
        <v>247</v>
      </c>
      <c r="B782" s="2" t="s">
        <v>170</v>
      </c>
      <c r="C782" s="3" t="n">
        <v>46106</v>
      </c>
      <c r="D782" s="2" t="str">
        <f aca="false">TEXT(C782,"YYYY-MM")</f>
        <v>2026-03</v>
      </c>
      <c r="E782" s="4" t="s">
        <v>167</v>
      </c>
      <c r="F782" s="4" t="s">
        <v>62</v>
      </c>
      <c r="G782" s="5" t="n">
        <v>5049500</v>
      </c>
      <c r="H782" s="4" t="s">
        <v>168</v>
      </c>
    </row>
    <row r="783" customFormat="false" ht="15" hidden="false" customHeight="false" outlineLevel="0" collapsed="false">
      <c r="A783" s="2" t="s">
        <v>247</v>
      </c>
      <c r="B783" s="2" t="s">
        <v>170</v>
      </c>
      <c r="C783" s="3" t="n">
        <v>46106</v>
      </c>
      <c r="D783" s="2" t="str">
        <f aca="false">TEXT(C783,"YYYY-MM")</f>
        <v>2026-03</v>
      </c>
      <c r="E783" s="2" t="s">
        <v>276</v>
      </c>
      <c r="F783" s="4" t="s">
        <v>26</v>
      </c>
      <c r="G783" s="5" t="n">
        <v>1500</v>
      </c>
      <c r="H783" s="2"/>
    </row>
    <row r="784" customFormat="false" ht="15" hidden="false" customHeight="false" outlineLevel="0" collapsed="false">
      <c r="A784" s="2" t="s">
        <v>247</v>
      </c>
      <c r="B784" s="2" t="s">
        <v>170</v>
      </c>
      <c r="C784" s="3" t="n">
        <v>46106</v>
      </c>
      <c r="D784" s="2" t="str">
        <f aca="false">TEXT(C784,"YYYY-MM")</f>
        <v>2026-03</v>
      </c>
      <c r="E784" s="2" t="s">
        <v>248</v>
      </c>
      <c r="F784" s="4" t="s">
        <v>37</v>
      </c>
      <c r="G784" s="5" t="n">
        <v>13161</v>
      </c>
      <c r="H784" s="2"/>
    </row>
    <row r="785" customFormat="false" ht="15" hidden="false" customHeight="false" outlineLevel="0" collapsed="false">
      <c r="A785" s="2" t="s">
        <v>247</v>
      </c>
      <c r="B785" s="2" t="s">
        <v>170</v>
      </c>
      <c r="C785" s="3" t="n">
        <v>46106</v>
      </c>
      <c r="D785" s="2" t="str">
        <f aca="false">TEXT(C785,"YYYY-MM")</f>
        <v>2026-03</v>
      </c>
      <c r="E785" s="2" t="s">
        <v>248</v>
      </c>
      <c r="F785" s="4" t="s">
        <v>37</v>
      </c>
      <c r="G785" s="5" t="n">
        <v>175</v>
      </c>
      <c r="H785" s="2"/>
    </row>
    <row r="786" customFormat="false" ht="15" hidden="false" customHeight="false" outlineLevel="0" collapsed="false">
      <c r="A786" s="2" t="s">
        <v>247</v>
      </c>
      <c r="B786" s="2" t="s">
        <v>170</v>
      </c>
      <c r="C786" s="3" t="n">
        <v>46106</v>
      </c>
      <c r="D786" s="2" t="str">
        <f aca="false">TEXT(C786,"YYYY-MM")</f>
        <v>2026-03</v>
      </c>
      <c r="E786" s="4" t="s">
        <v>45</v>
      </c>
      <c r="F786" s="4" t="s">
        <v>28</v>
      </c>
      <c r="G786" s="5" t="n">
        <v>3390</v>
      </c>
      <c r="H786" s="2"/>
    </row>
    <row r="787" customFormat="false" ht="15" hidden="false" customHeight="false" outlineLevel="0" collapsed="false">
      <c r="A787" s="2" t="s">
        <v>247</v>
      </c>
      <c r="B787" s="2" t="s">
        <v>170</v>
      </c>
      <c r="C787" s="3" t="n">
        <v>46107</v>
      </c>
      <c r="D787" s="2" t="str">
        <f aca="false">TEXT(C787,"YYYY-MM")</f>
        <v>2026-03</v>
      </c>
      <c r="E787" s="2" t="s">
        <v>345</v>
      </c>
      <c r="F787" s="4" t="s">
        <v>26</v>
      </c>
      <c r="G787" s="5" t="n">
        <v>3000</v>
      </c>
      <c r="H787" s="2"/>
    </row>
    <row r="788" customFormat="false" ht="15" hidden="false" customHeight="false" outlineLevel="0" collapsed="false">
      <c r="A788" s="2" t="s">
        <v>247</v>
      </c>
      <c r="B788" s="2" t="s">
        <v>170</v>
      </c>
      <c r="C788" s="3" t="n">
        <v>46107</v>
      </c>
      <c r="D788" s="2" t="str">
        <f aca="false">TEXT(C788,"YYYY-MM")</f>
        <v>2026-03</v>
      </c>
      <c r="E788" s="2" t="s">
        <v>248</v>
      </c>
      <c r="F788" s="4" t="s">
        <v>37</v>
      </c>
      <c r="G788" s="5" t="n">
        <v>2200</v>
      </c>
      <c r="H788" s="2"/>
    </row>
    <row r="789" customFormat="false" ht="15" hidden="false" customHeight="false" outlineLevel="0" collapsed="false">
      <c r="A789" s="2" t="s">
        <v>247</v>
      </c>
      <c r="B789" s="2" t="s">
        <v>170</v>
      </c>
      <c r="C789" s="3" t="n">
        <v>46107</v>
      </c>
      <c r="D789" s="2" t="str">
        <f aca="false">TEXT(C789,"YYYY-MM")</f>
        <v>2026-03</v>
      </c>
      <c r="E789" s="4" t="s">
        <v>262</v>
      </c>
      <c r="F789" s="4" t="s">
        <v>17</v>
      </c>
      <c r="G789" s="5" t="n">
        <v>1500</v>
      </c>
      <c r="H789" s="4" t="s">
        <v>18</v>
      </c>
    </row>
    <row r="790" customFormat="false" ht="15" hidden="false" customHeight="false" outlineLevel="0" collapsed="false">
      <c r="A790" s="2" t="s">
        <v>247</v>
      </c>
      <c r="B790" s="2" t="s">
        <v>170</v>
      </c>
      <c r="C790" s="3" t="n">
        <v>46107</v>
      </c>
      <c r="D790" s="2" t="str">
        <f aca="false">TEXT(C790,"YYYY-MM")</f>
        <v>2026-03</v>
      </c>
      <c r="E790" s="4" t="s">
        <v>346</v>
      </c>
      <c r="F790" s="4" t="s">
        <v>22</v>
      </c>
      <c r="G790" s="5" t="n">
        <v>500</v>
      </c>
      <c r="H790" s="4" t="s">
        <v>42</v>
      </c>
    </row>
    <row r="791" customFormat="false" ht="15" hidden="false" customHeight="false" outlineLevel="0" collapsed="false">
      <c r="A791" s="2" t="s">
        <v>247</v>
      </c>
      <c r="B791" s="2" t="s">
        <v>170</v>
      </c>
      <c r="C791" s="3" t="n">
        <v>46107</v>
      </c>
      <c r="D791" s="2" t="str">
        <f aca="false">TEXT(C791,"YYYY-MM")</f>
        <v>2026-03</v>
      </c>
      <c r="E791" s="2" t="s">
        <v>164</v>
      </c>
      <c r="F791" s="4" t="s">
        <v>22</v>
      </c>
      <c r="G791" s="5" t="n">
        <v>1000</v>
      </c>
      <c r="H791" s="4" t="s">
        <v>42</v>
      </c>
    </row>
    <row r="792" customFormat="false" ht="15" hidden="false" customHeight="false" outlineLevel="0" collapsed="false">
      <c r="A792" s="2" t="s">
        <v>247</v>
      </c>
      <c r="B792" s="2" t="s">
        <v>170</v>
      </c>
      <c r="C792" s="3" t="n">
        <v>46107</v>
      </c>
      <c r="D792" s="2" t="str">
        <f aca="false">TEXT(C792,"YYYY-MM")</f>
        <v>2026-03</v>
      </c>
      <c r="E792" s="4" t="s">
        <v>347</v>
      </c>
      <c r="F792" s="4" t="s">
        <v>22</v>
      </c>
      <c r="G792" s="5" t="n">
        <v>1550</v>
      </c>
      <c r="H792" s="2"/>
    </row>
    <row r="793" customFormat="false" ht="15" hidden="false" customHeight="false" outlineLevel="0" collapsed="false">
      <c r="A793" s="2" t="s">
        <v>247</v>
      </c>
      <c r="B793" s="2" t="s">
        <v>170</v>
      </c>
      <c r="C793" s="3" t="n">
        <v>46107</v>
      </c>
      <c r="D793" s="2" t="str">
        <f aca="false">TEXT(C793,"YYYY-MM")</f>
        <v>2026-03</v>
      </c>
      <c r="E793" s="4" t="s">
        <v>348</v>
      </c>
      <c r="F793" s="4" t="s">
        <v>35</v>
      </c>
      <c r="G793" s="5" t="n">
        <v>74470</v>
      </c>
      <c r="H793" s="4" t="s">
        <v>349</v>
      </c>
    </row>
    <row r="794" customFormat="false" ht="15" hidden="false" customHeight="false" outlineLevel="0" collapsed="false">
      <c r="A794" s="2" t="s">
        <v>247</v>
      </c>
      <c r="B794" s="2" t="s">
        <v>170</v>
      </c>
      <c r="C794" s="3" t="n">
        <v>46108</v>
      </c>
      <c r="D794" s="2" t="str">
        <f aca="false">TEXT(C794,"YYYY-MM")</f>
        <v>2026-03</v>
      </c>
      <c r="E794" s="4" t="s">
        <v>350</v>
      </c>
      <c r="F794" s="4" t="s">
        <v>22</v>
      </c>
      <c r="G794" s="5" t="n">
        <v>910</v>
      </c>
      <c r="H794" s="2"/>
    </row>
    <row r="795" customFormat="false" ht="15" hidden="false" customHeight="false" outlineLevel="0" collapsed="false">
      <c r="A795" s="2" t="s">
        <v>247</v>
      </c>
      <c r="B795" s="2" t="s">
        <v>170</v>
      </c>
      <c r="C795" s="3" t="n">
        <v>46108</v>
      </c>
      <c r="D795" s="2" t="str">
        <f aca="false">TEXT(C795,"YYYY-MM")</f>
        <v>2026-03</v>
      </c>
      <c r="E795" s="4" t="s">
        <v>351</v>
      </c>
      <c r="F795" s="4" t="s">
        <v>22</v>
      </c>
      <c r="G795" s="5" t="n">
        <v>706</v>
      </c>
      <c r="H795" s="2"/>
    </row>
    <row r="796" customFormat="false" ht="15" hidden="false" customHeight="false" outlineLevel="0" collapsed="false">
      <c r="A796" s="2" t="s">
        <v>247</v>
      </c>
      <c r="B796" s="2" t="s">
        <v>170</v>
      </c>
      <c r="C796" s="3" t="n">
        <v>46108</v>
      </c>
      <c r="D796" s="2" t="str">
        <f aca="false">TEXT(C796,"YYYY-MM")</f>
        <v>2026-03</v>
      </c>
      <c r="E796" s="2" t="s">
        <v>24</v>
      </c>
      <c r="F796" s="4" t="s">
        <v>17</v>
      </c>
      <c r="G796" s="5" t="n">
        <v>480</v>
      </c>
      <c r="H796" s="2"/>
    </row>
    <row r="797" customFormat="false" ht="15" hidden="false" customHeight="false" outlineLevel="0" collapsed="false">
      <c r="A797" s="2" t="s">
        <v>247</v>
      </c>
      <c r="B797" s="2" t="s">
        <v>170</v>
      </c>
      <c r="C797" s="3" t="n">
        <v>46108</v>
      </c>
      <c r="D797" s="2" t="str">
        <f aca="false">TEXT(C797,"YYYY-MM")</f>
        <v>2026-03</v>
      </c>
      <c r="E797" s="2" t="s">
        <v>329</v>
      </c>
      <c r="F797" s="4" t="s">
        <v>17</v>
      </c>
      <c r="G797" s="5" t="n">
        <v>600</v>
      </c>
      <c r="H797" s="2"/>
    </row>
    <row r="798" customFormat="false" ht="15" hidden="false" customHeight="false" outlineLevel="0" collapsed="false">
      <c r="A798" s="2" t="s">
        <v>247</v>
      </c>
      <c r="B798" s="2" t="s">
        <v>170</v>
      </c>
      <c r="C798" s="3" t="n">
        <v>46108</v>
      </c>
      <c r="D798" s="2" t="str">
        <f aca="false">TEXT(C798,"YYYY-MM")</f>
        <v>2026-03</v>
      </c>
      <c r="E798" s="2" t="s">
        <v>329</v>
      </c>
      <c r="F798" s="4" t="s">
        <v>17</v>
      </c>
      <c r="G798" s="5" t="n">
        <v>600</v>
      </c>
      <c r="H798" s="2"/>
    </row>
    <row r="799" customFormat="false" ht="15" hidden="false" customHeight="false" outlineLevel="0" collapsed="false">
      <c r="A799" s="2" t="s">
        <v>247</v>
      </c>
      <c r="B799" s="2" t="s">
        <v>170</v>
      </c>
      <c r="C799" s="3" t="n">
        <v>46108</v>
      </c>
      <c r="D799" s="2" t="str">
        <f aca="false">TEXT(C799,"YYYY-MM")</f>
        <v>2026-03</v>
      </c>
      <c r="E799" s="4" t="s">
        <v>330</v>
      </c>
      <c r="F799" s="4" t="s">
        <v>22</v>
      </c>
      <c r="G799" s="5" t="n">
        <v>1855</v>
      </c>
      <c r="H799" s="4" t="s">
        <v>42</v>
      </c>
    </row>
    <row r="800" customFormat="false" ht="15" hidden="false" customHeight="false" outlineLevel="0" collapsed="false">
      <c r="A800" s="2" t="s">
        <v>247</v>
      </c>
      <c r="B800" s="2" t="s">
        <v>170</v>
      </c>
      <c r="C800" s="3" t="n">
        <v>46109</v>
      </c>
      <c r="D800" s="2" t="str">
        <f aca="false">TEXT(C800,"YYYY-MM")</f>
        <v>2026-03</v>
      </c>
      <c r="E800" s="4" t="s">
        <v>352</v>
      </c>
      <c r="F800" s="4" t="s">
        <v>22</v>
      </c>
      <c r="G800" s="5" t="n">
        <v>1000</v>
      </c>
      <c r="H800" s="4" t="s">
        <v>42</v>
      </c>
    </row>
    <row r="801" customFormat="false" ht="15" hidden="false" customHeight="false" outlineLevel="0" collapsed="false">
      <c r="A801" s="2" t="s">
        <v>247</v>
      </c>
      <c r="B801" s="2" t="s">
        <v>170</v>
      </c>
      <c r="C801" s="3" t="n">
        <v>46109</v>
      </c>
      <c r="D801" s="2" t="str">
        <f aca="false">TEXT(C801,"YYYY-MM")</f>
        <v>2026-03</v>
      </c>
      <c r="E801" s="2" t="s">
        <v>269</v>
      </c>
      <c r="F801" s="4" t="s">
        <v>17</v>
      </c>
      <c r="G801" s="5" t="n">
        <v>5531</v>
      </c>
      <c r="H801" s="4" t="s">
        <v>30</v>
      </c>
    </row>
    <row r="802" customFormat="false" ht="15" hidden="false" customHeight="false" outlineLevel="0" collapsed="false">
      <c r="A802" s="2" t="s">
        <v>247</v>
      </c>
      <c r="B802" s="2" t="s">
        <v>170</v>
      </c>
      <c r="C802" s="3" t="n">
        <v>46109</v>
      </c>
      <c r="D802" s="2" t="str">
        <f aca="false">TEXT(C802,"YYYY-MM")</f>
        <v>2026-03</v>
      </c>
      <c r="E802" s="2" t="s">
        <v>24</v>
      </c>
      <c r="F802" s="4" t="s">
        <v>17</v>
      </c>
      <c r="G802" s="5" t="n">
        <v>700</v>
      </c>
      <c r="H802" s="2"/>
    </row>
    <row r="803" customFormat="false" ht="15" hidden="false" customHeight="false" outlineLevel="0" collapsed="false">
      <c r="A803" s="2" t="s">
        <v>247</v>
      </c>
      <c r="B803" s="2" t="s">
        <v>170</v>
      </c>
      <c r="C803" s="3" t="n">
        <v>46109</v>
      </c>
      <c r="D803" s="2" t="str">
        <f aca="false">TEXT(C803,"YYYY-MM")</f>
        <v>2026-03</v>
      </c>
      <c r="E803" s="2" t="s">
        <v>24</v>
      </c>
      <c r="F803" s="4" t="s">
        <v>17</v>
      </c>
      <c r="G803" s="5" t="n">
        <v>560</v>
      </c>
      <c r="H803" s="2"/>
    </row>
    <row r="804" customFormat="false" ht="15" hidden="false" customHeight="false" outlineLevel="0" collapsed="false">
      <c r="A804" s="2" t="s">
        <v>247</v>
      </c>
      <c r="B804" s="2" t="s">
        <v>170</v>
      </c>
      <c r="C804" s="3" t="n">
        <v>46109</v>
      </c>
      <c r="D804" s="2" t="str">
        <f aca="false">TEXT(C804,"YYYY-MM")</f>
        <v>2026-03</v>
      </c>
      <c r="E804" s="2" t="s">
        <v>329</v>
      </c>
      <c r="F804" s="4" t="s">
        <v>17</v>
      </c>
      <c r="G804" s="5" t="n">
        <v>600</v>
      </c>
      <c r="H804" s="2"/>
    </row>
    <row r="805" customFormat="false" ht="15" hidden="false" customHeight="false" outlineLevel="0" collapsed="false">
      <c r="A805" s="2" t="s">
        <v>247</v>
      </c>
      <c r="B805" s="2" t="s">
        <v>170</v>
      </c>
      <c r="C805" s="3" t="n">
        <v>46109</v>
      </c>
      <c r="D805" s="2" t="str">
        <f aca="false">TEXT(C805,"YYYY-MM")</f>
        <v>2026-03</v>
      </c>
      <c r="E805" s="2" t="s">
        <v>329</v>
      </c>
      <c r="F805" s="4" t="s">
        <v>17</v>
      </c>
      <c r="G805" s="5" t="n">
        <v>600</v>
      </c>
      <c r="H805" s="2"/>
    </row>
    <row r="806" customFormat="false" ht="15" hidden="false" customHeight="false" outlineLevel="0" collapsed="false">
      <c r="A806" s="2" t="s">
        <v>247</v>
      </c>
      <c r="B806" s="2" t="s">
        <v>170</v>
      </c>
      <c r="C806" s="3" t="n">
        <v>46109</v>
      </c>
      <c r="D806" s="2" t="str">
        <f aca="false">TEXT(C806,"YYYY-MM")</f>
        <v>2026-03</v>
      </c>
      <c r="E806" s="4" t="s">
        <v>330</v>
      </c>
      <c r="F806" s="4" t="s">
        <v>22</v>
      </c>
      <c r="G806" s="5" t="n">
        <v>1030</v>
      </c>
      <c r="H806" s="4" t="s">
        <v>42</v>
      </c>
    </row>
    <row r="807" customFormat="false" ht="15" hidden="false" customHeight="false" outlineLevel="0" collapsed="false">
      <c r="A807" s="2" t="s">
        <v>247</v>
      </c>
      <c r="B807" s="2" t="s">
        <v>170</v>
      </c>
      <c r="C807" s="3" t="n">
        <v>46109</v>
      </c>
      <c r="D807" s="2" t="str">
        <f aca="false">TEXT(C807,"YYYY-MM")</f>
        <v>2026-03</v>
      </c>
      <c r="E807" s="4" t="s">
        <v>330</v>
      </c>
      <c r="F807" s="4" t="s">
        <v>22</v>
      </c>
      <c r="G807" s="5" t="n">
        <v>775</v>
      </c>
      <c r="H807" s="4" t="s">
        <v>42</v>
      </c>
    </row>
    <row r="808" customFormat="false" ht="15" hidden="false" customHeight="false" outlineLevel="0" collapsed="false">
      <c r="A808" s="2" t="s">
        <v>247</v>
      </c>
      <c r="B808" s="2" t="s">
        <v>170</v>
      </c>
      <c r="C808" s="3" t="n">
        <v>46109</v>
      </c>
      <c r="D808" s="2" t="str">
        <f aca="false">TEXT(C808,"YYYY-MM")</f>
        <v>2026-03</v>
      </c>
      <c r="E808" s="4" t="s">
        <v>353</v>
      </c>
      <c r="F808" s="4" t="s">
        <v>22</v>
      </c>
      <c r="G808" s="5" t="n">
        <v>2800</v>
      </c>
      <c r="H808" s="2"/>
    </row>
    <row r="809" customFormat="false" ht="15" hidden="false" customHeight="false" outlineLevel="0" collapsed="false">
      <c r="A809" s="2" t="s">
        <v>247</v>
      </c>
      <c r="B809" s="2" t="s">
        <v>170</v>
      </c>
      <c r="C809" s="3" t="n">
        <v>46110</v>
      </c>
      <c r="D809" s="2" t="str">
        <f aca="false">TEXT(C809,"YYYY-MM")</f>
        <v>2026-03</v>
      </c>
      <c r="E809" s="4" t="s">
        <v>350</v>
      </c>
      <c r="F809" s="4" t="s">
        <v>22</v>
      </c>
      <c r="G809" s="5" t="n">
        <v>1290</v>
      </c>
      <c r="H809" s="2"/>
    </row>
    <row r="810" customFormat="false" ht="15" hidden="false" customHeight="false" outlineLevel="0" collapsed="false">
      <c r="A810" s="2" t="s">
        <v>247</v>
      </c>
      <c r="B810" s="2" t="s">
        <v>170</v>
      </c>
      <c r="C810" s="3" t="n">
        <v>46111</v>
      </c>
      <c r="D810" s="2" t="str">
        <f aca="false">TEXT(C810,"YYYY-MM")</f>
        <v>2026-03</v>
      </c>
      <c r="E810" s="4" t="s">
        <v>38</v>
      </c>
      <c r="F810" s="4" t="s">
        <v>22</v>
      </c>
      <c r="G810" s="5" t="n">
        <v>1980</v>
      </c>
      <c r="H810" s="2"/>
    </row>
    <row r="811" customFormat="false" ht="15" hidden="false" customHeight="false" outlineLevel="0" collapsed="false">
      <c r="A811" s="2" t="s">
        <v>247</v>
      </c>
      <c r="B811" s="2" t="s">
        <v>170</v>
      </c>
      <c r="C811" s="3" t="n">
        <v>46112</v>
      </c>
      <c r="D811" s="2" t="str">
        <f aca="false">TEXT(C811,"YYYY-MM")</f>
        <v>2026-03</v>
      </c>
      <c r="E811" s="4" t="s">
        <v>354</v>
      </c>
      <c r="F811" s="4" t="s">
        <v>28</v>
      </c>
      <c r="G811" s="5" t="n">
        <v>1180</v>
      </c>
      <c r="H811" s="2"/>
    </row>
    <row r="812" customFormat="false" ht="15" hidden="false" customHeight="false" outlineLevel="0" collapsed="false">
      <c r="A812" s="2" t="s">
        <v>247</v>
      </c>
      <c r="B812" s="2" t="s">
        <v>170</v>
      </c>
      <c r="C812" s="3" t="n">
        <v>46112</v>
      </c>
      <c r="D812" s="2" t="str">
        <f aca="false">TEXT(C812,"YYYY-MM")</f>
        <v>2026-03</v>
      </c>
      <c r="E812" s="4" t="s">
        <v>299</v>
      </c>
      <c r="F812" s="4" t="s">
        <v>22</v>
      </c>
      <c r="G812" s="5" t="n">
        <v>330</v>
      </c>
      <c r="H812" s="4" t="s">
        <v>42</v>
      </c>
    </row>
    <row r="813" customFormat="false" ht="15" hidden="false" customHeight="false" outlineLevel="0" collapsed="false">
      <c r="A813" s="2" t="s">
        <v>247</v>
      </c>
      <c r="B813" s="2" t="s">
        <v>170</v>
      </c>
      <c r="C813" s="3" t="n">
        <v>46112</v>
      </c>
      <c r="D813" s="2" t="str">
        <f aca="false">TEXT(C813,"YYYY-MM")</f>
        <v>2026-03</v>
      </c>
      <c r="E813" s="2" t="s">
        <v>24</v>
      </c>
      <c r="F813" s="4" t="s">
        <v>17</v>
      </c>
      <c r="G813" s="5" t="n">
        <v>560</v>
      </c>
      <c r="H813" s="2"/>
    </row>
    <row r="814" customFormat="false" ht="15" hidden="false" customHeight="false" outlineLevel="0" collapsed="false">
      <c r="A814" s="2" t="s">
        <v>247</v>
      </c>
      <c r="B814" s="2" t="s">
        <v>170</v>
      </c>
      <c r="C814" s="3" t="n">
        <v>46112</v>
      </c>
      <c r="D814" s="2" t="str">
        <f aca="false">TEXT(C814,"YYYY-MM")</f>
        <v>2026-03</v>
      </c>
      <c r="E814" s="2" t="s">
        <v>24</v>
      </c>
      <c r="F814" s="4" t="s">
        <v>17</v>
      </c>
      <c r="G814" s="5" t="n">
        <v>480</v>
      </c>
      <c r="H814" s="2"/>
    </row>
    <row r="815" customFormat="false" ht="15" hidden="false" customHeight="false" outlineLevel="0" collapsed="false">
      <c r="A815" s="2" t="s">
        <v>247</v>
      </c>
      <c r="B815" s="2" t="s">
        <v>170</v>
      </c>
      <c r="C815" s="3" t="n">
        <v>46112</v>
      </c>
      <c r="D815" s="2" t="str">
        <f aca="false">TEXT(C815,"YYYY-MM")</f>
        <v>2026-03</v>
      </c>
      <c r="E815" s="2" t="s">
        <v>329</v>
      </c>
      <c r="F815" s="4" t="s">
        <v>17</v>
      </c>
      <c r="G815" s="5" t="n">
        <v>600</v>
      </c>
      <c r="H815" s="2"/>
    </row>
    <row r="816" customFormat="false" ht="15" hidden="false" customHeight="false" outlineLevel="0" collapsed="false">
      <c r="A816" s="2" t="s">
        <v>247</v>
      </c>
      <c r="B816" s="2" t="s">
        <v>170</v>
      </c>
      <c r="C816" s="3" t="n">
        <v>46112</v>
      </c>
      <c r="D816" s="2" t="str">
        <f aca="false">TEXT(C816,"YYYY-MM")</f>
        <v>2026-03</v>
      </c>
      <c r="E816" s="2" t="s">
        <v>329</v>
      </c>
      <c r="F816" s="4" t="s">
        <v>17</v>
      </c>
      <c r="G816" s="5" t="n">
        <v>600</v>
      </c>
      <c r="H816" s="2"/>
    </row>
    <row r="817" customFormat="false" ht="15" hidden="false" customHeight="false" outlineLevel="0" collapsed="false">
      <c r="A817" s="2" t="s">
        <v>247</v>
      </c>
      <c r="B817" s="2" t="s">
        <v>170</v>
      </c>
      <c r="C817" s="3" t="n">
        <v>46113</v>
      </c>
      <c r="D817" s="2" t="str">
        <f aca="false">TEXT(C817,"YYYY-MM")</f>
        <v>2026-04</v>
      </c>
      <c r="E817" s="4" t="s">
        <v>355</v>
      </c>
      <c r="F817" s="4" t="s">
        <v>28</v>
      </c>
      <c r="G817" s="5" t="n">
        <v>70</v>
      </c>
      <c r="H817" s="4" t="s">
        <v>356</v>
      </c>
    </row>
    <row r="818" customFormat="false" ht="15" hidden="false" customHeight="false" outlineLevel="0" collapsed="false">
      <c r="A818" s="2" t="s">
        <v>247</v>
      </c>
      <c r="B818" s="2" t="s">
        <v>170</v>
      </c>
      <c r="C818" s="3" t="n">
        <v>46113</v>
      </c>
      <c r="D818" s="2" t="str">
        <f aca="false">TEXT(C818,"YYYY-MM")</f>
        <v>2026-04</v>
      </c>
      <c r="E818" s="4" t="s">
        <v>355</v>
      </c>
      <c r="F818" s="4" t="s">
        <v>28</v>
      </c>
      <c r="G818" s="5" t="n">
        <v>549</v>
      </c>
      <c r="H818" s="4" t="s">
        <v>356</v>
      </c>
    </row>
    <row r="819" customFormat="false" ht="15" hidden="false" customHeight="false" outlineLevel="0" collapsed="false">
      <c r="A819" s="2" t="s">
        <v>247</v>
      </c>
      <c r="B819" s="2" t="s">
        <v>170</v>
      </c>
      <c r="C819" s="3" t="n">
        <v>46113</v>
      </c>
      <c r="D819" s="2" t="str">
        <f aca="false">TEXT(C819,"YYYY-MM")</f>
        <v>2026-04</v>
      </c>
      <c r="E819" s="2" t="s">
        <v>164</v>
      </c>
      <c r="F819" s="4" t="s">
        <v>22</v>
      </c>
      <c r="G819" s="5" t="n">
        <v>1450</v>
      </c>
      <c r="H819" s="4" t="s">
        <v>42</v>
      </c>
    </row>
    <row r="820" customFormat="false" ht="15" hidden="false" customHeight="false" outlineLevel="0" collapsed="false">
      <c r="A820" s="2" t="s">
        <v>247</v>
      </c>
      <c r="B820" s="2" t="s">
        <v>170</v>
      </c>
      <c r="C820" s="3" t="n">
        <v>46114</v>
      </c>
      <c r="D820" s="2" t="str">
        <f aca="false">TEXT(C820,"YYYY-MM")</f>
        <v>2026-04</v>
      </c>
      <c r="E820" s="2" t="s">
        <v>248</v>
      </c>
      <c r="F820" s="4" t="s">
        <v>37</v>
      </c>
      <c r="G820" s="5" t="n">
        <v>7668</v>
      </c>
      <c r="H820" s="2"/>
    </row>
    <row r="821" customFormat="false" ht="15" hidden="false" customHeight="false" outlineLevel="0" collapsed="false">
      <c r="A821" s="2" t="s">
        <v>247</v>
      </c>
      <c r="B821" s="2" t="s">
        <v>170</v>
      </c>
      <c r="C821" s="3" t="n">
        <v>46114</v>
      </c>
      <c r="D821" s="2" t="str">
        <f aca="false">TEXT(C821,"YYYY-MM")</f>
        <v>2026-04</v>
      </c>
      <c r="E821" s="2" t="s">
        <v>248</v>
      </c>
      <c r="F821" s="4" t="s">
        <v>37</v>
      </c>
      <c r="G821" s="5" t="n">
        <v>9372</v>
      </c>
      <c r="H821" s="2"/>
    </row>
    <row r="822" customFormat="false" ht="15" hidden="false" customHeight="false" outlineLevel="0" collapsed="false">
      <c r="A822" s="2" t="s">
        <v>247</v>
      </c>
      <c r="B822" s="2" t="s">
        <v>170</v>
      </c>
      <c r="C822" s="3" t="n">
        <v>46114</v>
      </c>
      <c r="D822" s="2" t="str">
        <f aca="false">TEXT(C822,"YYYY-MM")</f>
        <v>2026-04</v>
      </c>
      <c r="E822" s="2" t="s">
        <v>164</v>
      </c>
      <c r="F822" s="4" t="s">
        <v>22</v>
      </c>
      <c r="G822" s="5" t="n">
        <v>980</v>
      </c>
      <c r="H822" s="4" t="s">
        <v>42</v>
      </c>
    </row>
    <row r="823" customFormat="false" ht="15" hidden="false" customHeight="false" outlineLevel="0" collapsed="false">
      <c r="A823" s="2" t="s">
        <v>247</v>
      </c>
      <c r="B823" s="2" t="s">
        <v>170</v>
      </c>
      <c r="C823" s="3" t="n">
        <v>46114</v>
      </c>
      <c r="D823" s="2" t="str">
        <f aca="false">TEXT(C823,"YYYY-MM")</f>
        <v>2026-04</v>
      </c>
      <c r="E823" s="4" t="s">
        <v>357</v>
      </c>
      <c r="F823" s="4" t="s">
        <v>22</v>
      </c>
      <c r="G823" s="5" t="n">
        <v>6545</v>
      </c>
      <c r="H823" s="2"/>
    </row>
    <row r="824" customFormat="false" ht="15" hidden="false" customHeight="false" outlineLevel="0" collapsed="false">
      <c r="A824" s="2" t="s">
        <v>247</v>
      </c>
      <c r="B824" s="2" t="s">
        <v>170</v>
      </c>
      <c r="C824" s="3" t="n">
        <v>46115</v>
      </c>
      <c r="D824" s="2" t="str">
        <f aca="false">TEXT(C824,"YYYY-MM")</f>
        <v>2026-04</v>
      </c>
      <c r="E824" s="4" t="s">
        <v>358</v>
      </c>
      <c r="F824" s="4" t="s">
        <v>13</v>
      </c>
      <c r="G824" s="5" t="n">
        <v>1800</v>
      </c>
      <c r="H824" s="4" t="s">
        <v>74</v>
      </c>
    </row>
    <row r="825" customFormat="false" ht="15" hidden="false" customHeight="false" outlineLevel="0" collapsed="false">
      <c r="A825" s="2" t="s">
        <v>247</v>
      </c>
      <c r="B825" s="2" t="s">
        <v>170</v>
      </c>
      <c r="C825" s="3" t="n">
        <v>46116</v>
      </c>
      <c r="D825" s="2" t="str">
        <f aca="false">TEXT(C825,"YYYY-MM")</f>
        <v>2026-04</v>
      </c>
      <c r="E825" s="2" t="s">
        <v>248</v>
      </c>
      <c r="F825" s="4" t="s">
        <v>37</v>
      </c>
      <c r="G825" s="5" t="n">
        <v>2805</v>
      </c>
      <c r="H825" s="2"/>
    </row>
    <row r="826" customFormat="false" ht="15" hidden="false" customHeight="false" outlineLevel="0" collapsed="false">
      <c r="A826" s="2" t="s">
        <v>247</v>
      </c>
      <c r="B826" s="2" t="s">
        <v>170</v>
      </c>
      <c r="C826" s="3" t="n">
        <v>46116</v>
      </c>
      <c r="D826" s="2" t="str">
        <f aca="false">TEXT(C826,"YYYY-MM")</f>
        <v>2026-04</v>
      </c>
      <c r="E826" s="2" t="s">
        <v>359</v>
      </c>
      <c r="F826" s="4" t="s">
        <v>22</v>
      </c>
      <c r="G826" s="5" t="n">
        <v>780</v>
      </c>
      <c r="H826" s="4" t="s">
        <v>42</v>
      </c>
    </row>
    <row r="827" customFormat="false" ht="15" hidden="false" customHeight="false" outlineLevel="0" collapsed="false">
      <c r="A827" s="2" t="s">
        <v>247</v>
      </c>
      <c r="B827" s="2" t="s">
        <v>170</v>
      </c>
      <c r="C827" s="3" t="n">
        <v>46117</v>
      </c>
      <c r="D827" s="2" t="str">
        <f aca="false">TEXT(C827,"YYYY-MM")</f>
        <v>2026-04</v>
      </c>
      <c r="E827" s="4" t="s">
        <v>250</v>
      </c>
      <c r="F827" s="4" t="s">
        <v>105</v>
      </c>
      <c r="G827" s="5" t="n">
        <v>638</v>
      </c>
      <c r="H827" s="2"/>
    </row>
    <row r="828" customFormat="false" ht="15" hidden="false" customHeight="false" outlineLevel="0" collapsed="false">
      <c r="A828" s="2" t="s">
        <v>247</v>
      </c>
      <c r="B828" s="2" t="s">
        <v>170</v>
      </c>
      <c r="C828" s="3" t="n">
        <v>46117</v>
      </c>
      <c r="D828" s="2" t="str">
        <f aca="false">TEXT(C828,"YYYY-MM")</f>
        <v>2026-04</v>
      </c>
      <c r="E828" s="4" t="s">
        <v>360</v>
      </c>
      <c r="F828" s="4" t="s">
        <v>13</v>
      </c>
      <c r="G828" s="5" t="n">
        <v>1700</v>
      </c>
      <c r="H828" s="4" t="s">
        <v>74</v>
      </c>
    </row>
    <row r="829" customFormat="false" ht="15" hidden="false" customHeight="false" outlineLevel="0" collapsed="false">
      <c r="A829" s="2" t="s">
        <v>247</v>
      </c>
      <c r="B829" s="2" t="s">
        <v>170</v>
      </c>
      <c r="C829" s="3" t="n">
        <v>46117</v>
      </c>
      <c r="D829" s="2" t="str">
        <f aca="false">TEXT(C829,"YYYY-MM")</f>
        <v>2026-04</v>
      </c>
      <c r="E829" s="4" t="s">
        <v>360</v>
      </c>
      <c r="F829" s="4" t="s">
        <v>13</v>
      </c>
      <c r="G829" s="5" t="n">
        <v>1100</v>
      </c>
      <c r="H829" s="4" t="s">
        <v>74</v>
      </c>
    </row>
    <row r="830" customFormat="false" ht="15" hidden="false" customHeight="false" outlineLevel="0" collapsed="false">
      <c r="A830" s="2" t="s">
        <v>247</v>
      </c>
      <c r="B830" s="2" t="s">
        <v>170</v>
      </c>
      <c r="C830" s="3" t="n">
        <v>46117</v>
      </c>
      <c r="D830" s="2" t="str">
        <f aca="false">TEXT(C830,"YYYY-MM")</f>
        <v>2026-04</v>
      </c>
      <c r="E830" s="4" t="s">
        <v>85</v>
      </c>
      <c r="F830" s="4" t="s">
        <v>22</v>
      </c>
      <c r="G830" s="5" t="n">
        <v>10219</v>
      </c>
      <c r="H830" s="2"/>
    </row>
    <row r="831" customFormat="false" ht="15" hidden="false" customHeight="false" outlineLevel="0" collapsed="false">
      <c r="A831" s="2" t="s">
        <v>247</v>
      </c>
      <c r="B831" s="2" t="s">
        <v>170</v>
      </c>
      <c r="C831" s="3" t="n">
        <v>46118</v>
      </c>
      <c r="D831" s="2" t="str">
        <f aca="false">TEXT(C831,"YYYY-MM")</f>
        <v>2026-04</v>
      </c>
      <c r="E831" s="4" t="s">
        <v>45</v>
      </c>
      <c r="F831" s="4" t="s">
        <v>28</v>
      </c>
      <c r="G831" s="5" t="n">
        <v>2820</v>
      </c>
      <c r="H831" s="2"/>
    </row>
    <row r="832" customFormat="false" ht="15" hidden="false" customHeight="false" outlineLevel="0" collapsed="false">
      <c r="A832" s="2" t="s">
        <v>247</v>
      </c>
      <c r="B832" s="2" t="s">
        <v>170</v>
      </c>
      <c r="C832" s="3" t="n">
        <v>46119</v>
      </c>
      <c r="D832" s="2" t="str">
        <f aca="false">TEXT(C832,"YYYY-MM")</f>
        <v>2026-04</v>
      </c>
      <c r="E832" s="2" t="s">
        <v>164</v>
      </c>
      <c r="F832" s="4" t="s">
        <v>22</v>
      </c>
      <c r="G832" s="5" t="n">
        <v>1000</v>
      </c>
      <c r="H832" s="4" t="s">
        <v>42</v>
      </c>
    </row>
    <row r="833" customFormat="false" ht="15" hidden="false" customHeight="false" outlineLevel="0" collapsed="false">
      <c r="A833" s="2" t="s">
        <v>247</v>
      </c>
      <c r="B833" s="2" t="s">
        <v>170</v>
      </c>
      <c r="C833" s="3" t="n">
        <v>46120</v>
      </c>
      <c r="D833" s="2" t="str">
        <f aca="false">TEXT(C833,"YYYY-MM")</f>
        <v>2026-04</v>
      </c>
      <c r="E833" s="2" t="s">
        <v>273</v>
      </c>
      <c r="F833" s="4" t="s">
        <v>137</v>
      </c>
      <c r="G833" s="5" t="n">
        <v>8800</v>
      </c>
      <c r="H833" s="4" t="s">
        <v>138</v>
      </c>
    </row>
    <row r="834" customFormat="false" ht="15" hidden="false" customHeight="false" outlineLevel="0" collapsed="false">
      <c r="A834" s="2" t="s">
        <v>247</v>
      </c>
      <c r="B834" s="2" t="s">
        <v>185</v>
      </c>
      <c r="C834" s="3" t="n">
        <v>46113</v>
      </c>
      <c r="D834" s="2" t="str">
        <f aca="false">TEXT(C834,"YYYY-MM")</f>
        <v>2026-04</v>
      </c>
      <c r="E834" s="2" t="s">
        <v>24</v>
      </c>
      <c r="F834" s="4" t="s">
        <v>17</v>
      </c>
      <c r="G834" s="5" t="n">
        <v>480</v>
      </c>
      <c r="H834" s="2"/>
    </row>
    <row r="835" customFormat="false" ht="15" hidden="false" customHeight="false" outlineLevel="0" collapsed="false">
      <c r="A835" s="2" t="s">
        <v>247</v>
      </c>
      <c r="B835" s="2" t="s">
        <v>185</v>
      </c>
      <c r="C835" s="3" t="n">
        <v>46113</v>
      </c>
      <c r="D835" s="2" t="str">
        <f aca="false">TEXT(C835,"YYYY-MM")</f>
        <v>2026-04</v>
      </c>
      <c r="E835" s="2" t="s">
        <v>329</v>
      </c>
      <c r="F835" s="4" t="s">
        <v>17</v>
      </c>
      <c r="G835" s="5" t="n">
        <v>600</v>
      </c>
      <c r="H835" s="2"/>
    </row>
    <row r="836" customFormat="false" ht="15" hidden="false" customHeight="false" outlineLevel="0" collapsed="false">
      <c r="A836" s="2" t="s">
        <v>247</v>
      </c>
      <c r="B836" s="2" t="s">
        <v>185</v>
      </c>
      <c r="C836" s="3" t="n">
        <v>46113</v>
      </c>
      <c r="D836" s="2" t="str">
        <f aca="false">TEXT(C836,"YYYY-MM")</f>
        <v>2026-04</v>
      </c>
      <c r="E836" s="2" t="s">
        <v>329</v>
      </c>
      <c r="F836" s="4" t="s">
        <v>17</v>
      </c>
      <c r="G836" s="5" t="n">
        <v>600</v>
      </c>
      <c r="H836" s="2"/>
    </row>
    <row r="837" customFormat="false" ht="15" hidden="false" customHeight="false" outlineLevel="0" collapsed="false">
      <c r="A837" s="2" t="s">
        <v>247</v>
      </c>
      <c r="B837" s="2" t="s">
        <v>185</v>
      </c>
      <c r="C837" s="3" t="n">
        <v>46114</v>
      </c>
      <c r="D837" s="2" t="str">
        <f aca="false">TEXT(C837,"YYYY-MM")</f>
        <v>2026-04</v>
      </c>
      <c r="E837" s="2" t="s">
        <v>24</v>
      </c>
      <c r="F837" s="4" t="s">
        <v>17</v>
      </c>
      <c r="G837" s="5" t="n">
        <v>560</v>
      </c>
      <c r="H837" s="2"/>
    </row>
    <row r="838" customFormat="false" ht="15" hidden="false" customHeight="false" outlineLevel="0" collapsed="false">
      <c r="A838" s="2" t="s">
        <v>247</v>
      </c>
      <c r="B838" s="2" t="s">
        <v>185</v>
      </c>
      <c r="C838" s="3" t="n">
        <v>46114</v>
      </c>
      <c r="D838" s="2" t="str">
        <f aca="false">TEXT(C838,"YYYY-MM")</f>
        <v>2026-04</v>
      </c>
      <c r="E838" s="2" t="s">
        <v>329</v>
      </c>
      <c r="F838" s="4" t="s">
        <v>17</v>
      </c>
      <c r="G838" s="5" t="n">
        <v>600</v>
      </c>
      <c r="H838" s="2"/>
    </row>
    <row r="839" customFormat="false" ht="15" hidden="false" customHeight="false" outlineLevel="0" collapsed="false">
      <c r="A839" s="2" t="s">
        <v>247</v>
      </c>
      <c r="B839" s="2" t="s">
        <v>185</v>
      </c>
      <c r="C839" s="3" t="n">
        <v>46114</v>
      </c>
      <c r="D839" s="2" t="str">
        <f aca="false">TEXT(C839,"YYYY-MM")</f>
        <v>2026-04</v>
      </c>
      <c r="E839" s="2" t="s">
        <v>329</v>
      </c>
      <c r="F839" s="4" t="s">
        <v>17</v>
      </c>
      <c r="G839" s="5" t="n">
        <v>600</v>
      </c>
      <c r="H839" s="2"/>
    </row>
    <row r="840" customFormat="false" ht="15" hidden="false" customHeight="false" outlineLevel="0" collapsed="false">
      <c r="A840" s="2" t="s">
        <v>247</v>
      </c>
      <c r="B840" s="2" t="s">
        <v>185</v>
      </c>
      <c r="C840" s="3" t="n">
        <v>46115</v>
      </c>
      <c r="D840" s="2" t="str">
        <f aca="false">TEXT(C840,"YYYY-MM")</f>
        <v>2026-04</v>
      </c>
      <c r="E840" s="2" t="s">
        <v>24</v>
      </c>
      <c r="F840" s="4" t="s">
        <v>17</v>
      </c>
      <c r="G840" s="5" t="n">
        <v>700</v>
      </c>
      <c r="H840" s="2"/>
    </row>
    <row r="841" customFormat="false" ht="15" hidden="false" customHeight="false" outlineLevel="0" collapsed="false">
      <c r="A841" s="2" t="s">
        <v>247</v>
      </c>
      <c r="B841" s="2" t="s">
        <v>185</v>
      </c>
      <c r="C841" s="3" t="n">
        <v>46115</v>
      </c>
      <c r="D841" s="2" t="str">
        <f aca="false">TEXT(C841,"YYYY-MM")</f>
        <v>2026-04</v>
      </c>
      <c r="E841" s="2" t="s">
        <v>329</v>
      </c>
      <c r="F841" s="4" t="s">
        <v>17</v>
      </c>
      <c r="G841" s="5" t="n">
        <v>600</v>
      </c>
      <c r="H841" s="2"/>
    </row>
    <row r="842" customFormat="false" ht="15" hidden="false" customHeight="false" outlineLevel="0" collapsed="false">
      <c r="A842" s="2" t="s">
        <v>247</v>
      </c>
      <c r="B842" s="2" t="s">
        <v>185</v>
      </c>
      <c r="C842" s="3" t="n">
        <v>46115</v>
      </c>
      <c r="D842" s="2" t="str">
        <f aca="false">TEXT(C842,"YYYY-MM")</f>
        <v>2026-04</v>
      </c>
      <c r="E842" s="2" t="s">
        <v>329</v>
      </c>
      <c r="F842" s="4" t="s">
        <v>17</v>
      </c>
      <c r="G842" s="5" t="n">
        <v>600</v>
      </c>
      <c r="H842" s="2"/>
    </row>
    <row r="843" customFormat="false" ht="15" hidden="false" customHeight="false" outlineLevel="0" collapsed="false">
      <c r="A843" s="2" t="s">
        <v>247</v>
      </c>
      <c r="B843" s="2" t="s">
        <v>185</v>
      </c>
      <c r="C843" s="3" t="n">
        <v>46128</v>
      </c>
      <c r="D843" s="2" t="str">
        <f aca="false">TEXT(C843,"YYYY-MM")</f>
        <v>2026-04</v>
      </c>
      <c r="E843" s="4" t="s">
        <v>112</v>
      </c>
      <c r="F843" s="4" t="s">
        <v>22</v>
      </c>
      <c r="G843" s="5" t="n">
        <v>1628</v>
      </c>
      <c r="H843" s="4" t="s">
        <v>42</v>
      </c>
    </row>
    <row r="844" customFormat="false" ht="15" hidden="false" customHeight="false" outlineLevel="0" collapsed="false">
      <c r="A844" s="2" t="s">
        <v>247</v>
      </c>
      <c r="B844" s="2" t="s">
        <v>185</v>
      </c>
      <c r="C844" s="3" t="n">
        <v>46128</v>
      </c>
      <c r="D844" s="2" t="str">
        <f aca="false">TEXT(C844,"YYYY-MM")</f>
        <v>2026-04</v>
      </c>
      <c r="E844" s="2" t="s">
        <v>361</v>
      </c>
      <c r="F844" s="4" t="s">
        <v>137</v>
      </c>
      <c r="G844" s="5" t="n">
        <v>1980</v>
      </c>
      <c r="H844" s="4" t="s">
        <v>362</v>
      </c>
    </row>
    <row r="845" customFormat="false" ht="15" hidden="false" customHeight="false" outlineLevel="0" collapsed="false">
      <c r="A845" s="2" t="s">
        <v>247</v>
      </c>
      <c r="B845" s="2" t="s">
        <v>185</v>
      </c>
      <c r="C845" s="3" t="n">
        <v>46128</v>
      </c>
      <c r="D845" s="2" t="str">
        <f aca="false">TEXT(C845,"YYYY-MM")</f>
        <v>2026-04</v>
      </c>
      <c r="E845" s="4" t="s">
        <v>363</v>
      </c>
      <c r="F845" s="4" t="s">
        <v>22</v>
      </c>
      <c r="G845" s="5" t="n">
        <v>17890</v>
      </c>
      <c r="H845" s="2"/>
    </row>
    <row r="846" customFormat="false" ht="15" hidden="false" customHeight="false" outlineLevel="0" collapsed="false">
      <c r="A846" s="2" t="s">
        <v>247</v>
      </c>
      <c r="B846" s="2" t="s">
        <v>185</v>
      </c>
      <c r="C846" s="3" t="n">
        <v>46129</v>
      </c>
      <c r="D846" s="2" t="str">
        <f aca="false">TEXT(C846,"YYYY-MM")</f>
        <v>2026-04</v>
      </c>
      <c r="E846" s="2" t="s">
        <v>248</v>
      </c>
      <c r="F846" s="4" t="s">
        <v>37</v>
      </c>
      <c r="G846" s="5" t="n">
        <v>4991</v>
      </c>
      <c r="H846" s="2"/>
    </row>
    <row r="847" customFormat="false" ht="15" hidden="false" customHeight="false" outlineLevel="0" collapsed="false">
      <c r="A847" s="2" t="s">
        <v>247</v>
      </c>
      <c r="B847" s="2" t="s">
        <v>185</v>
      </c>
      <c r="C847" s="3" t="n">
        <v>46130</v>
      </c>
      <c r="D847" s="2" t="str">
        <f aca="false">TEXT(C847,"YYYY-MM")</f>
        <v>2026-04</v>
      </c>
      <c r="E847" s="4" t="s">
        <v>364</v>
      </c>
      <c r="F847" s="4" t="s">
        <v>22</v>
      </c>
      <c r="G847" s="5" t="n">
        <v>560</v>
      </c>
      <c r="H847" s="4" t="s">
        <v>42</v>
      </c>
    </row>
    <row r="848" customFormat="false" ht="15" hidden="false" customHeight="false" outlineLevel="0" collapsed="false">
      <c r="A848" s="2" t="s">
        <v>247</v>
      </c>
      <c r="B848" s="2" t="s">
        <v>185</v>
      </c>
      <c r="C848" s="3" t="n">
        <v>46131</v>
      </c>
      <c r="D848" s="2" t="str">
        <f aca="false">TEXT(C848,"YYYY-MM")</f>
        <v>2026-04</v>
      </c>
      <c r="E848" s="2" t="s">
        <v>274</v>
      </c>
      <c r="F848" s="4" t="s">
        <v>22</v>
      </c>
      <c r="G848" s="5" t="n">
        <v>16050</v>
      </c>
      <c r="H848" s="2"/>
    </row>
    <row r="849" customFormat="false" ht="15" hidden="false" customHeight="false" outlineLevel="0" collapsed="false">
      <c r="A849" s="2" t="s">
        <v>247</v>
      </c>
      <c r="B849" s="2" t="s">
        <v>185</v>
      </c>
      <c r="C849" s="3" t="n">
        <v>46131</v>
      </c>
      <c r="D849" s="2" t="str">
        <f aca="false">TEXT(C849,"YYYY-MM")</f>
        <v>2026-04</v>
      </c>
      <c r="E849" s="4" t="s">
        <v>314</v>
      </c>
      <c r="F849" s="4" t="s">
        <v>68</v>
      </c>
      <c r="G849" s="5" t="n">
        <v>6050</v>
      </c>
      <c r="H849" s="4" t="s">
        <v>69</v>
      </c>
    </row>
    <row r="850" customFormat="false" ht="15" hidden="false" customHeight="false" outlineLevel="0" collapsed="false">
      <c r="A850" s="2" t="s">
        <v>247</v>
      </c>
      <c r="B850" s="2" t="s">
        <v>185</v>
      </c>
      <c r="C850" s="3" t="n">
        <v>46134</v>
      </c>
      <c r="D850" s="2" t="str">
        <f aca="false">TEXT(C850,"YYYY-MM")</f>
        <v>2026-04</v>
      </c>
      <c r="E850" s="4" t="s">
        <v>365</v>
      </c>
      <c r="F850" s="4" t="s">
        <v>13</v>
      </c>
      <c r="G850" s="5" t="n">
        <v>1410</v>
      </c>
      <c r="H850" s="2"/>
    </row>
    <row r="851" customFormat="false" ht="15" hidden="false" customHeight="false" outlineLevel="0" collapsed="false">
      <c r="A851" s="2" t="s">
        <v>247</v>
      </c>
      <c r="B851" s="2" t="s">
        <v>185</v>
      </c>
      <c r="C851" s="3" t="n">
        <v>46134</v>
      </c>
      <c r="D851" s="2" t="str">
        <f aca="false">TEXT(C851,"YYYY-MM")</f>
        <v>2026-04</v>
      </c>
      <c r="E851" s="4" t="s">
        <v>366</v>
      </c>
      <c r="F851" s="4" t="s">
        <v>13</v>
      </c>
      <c r="G851" s="5" t="n">
        <v>1400</v>
      </c>
      <c r="H851" s="2"/>
    </row>
    <row r="852" customFormat="false" ht="15" hidden="false" customHeight="false" outlineLevel="0" collapsed="false">
      <c r="A852" s="2" t="s">
        <v>247</v>
      </c>
      <c r="B852" s="2" t="s">
        <v>185</v>
      </c>
      <c r="C852" s="3" t="n">
        <v>46136</v>
      </c>
      <c r="D852" s="2" t="str">
        <f aca="false">TEXT(C852,"YYYY-MM")</f>
        <v>2026-04</v>
      </c>
      <c r="E852" s="4" t="s">
        <v>365</v>
      </c>
      <c r="F852" s="4" t="s">
        <v>13</v>
      </c>
      <c r="G852" s="5" t="n">
        <v>1500</v>
      </c>
      <c r="H852" s="2"/>
    </row>
    <row r="853" customFormat="false" ht="15" hidden="false" customHeight="false" outlineLevel="0" collapsed="false">
      <c r="A853" s="2" t="s">
        <v>247</v>
      </c>
      <c r="B853" s="2" t="s">
        <v>185</v>
      </c>
      <c r="C853" s="3" t="n">
        <v>46136</v>
      </c>
      <c r="D853" s="2" t="str">
        <f aca="false">TEXT(C853,"YYYY-MM")</f>
        <v>2026-04</v>
      </c>
      <c r="E853" s="4" t="s">
        <v>367</v>
      </c>
      <c r="F853" s="4" t="s">
        <v>22</v>
      </c>
      <c r="G853" s="5" t="n">
        <v>690</v>
      </c>
      <c r="H853" s="4" t="s">
        <v>42</v>
      </c>
    </row>
    <row r="854" customFormat="false" ht="15" hidden="false" customHeight="false" outlineLevel="0" collapsed="false">
      <c r="A854" s="2" t="s">
        <v>247</v>
      </c>
      <c r="B854" s="2" t="s">
        <v>185</v>
      </c>
      <c r="C854" s="3" t="n">
        <v>46136</v>
      </c>
      <c r="D854" s="2" t="str">
        <f aca="false">TEXT(C854,"YYYY-MM")</f>
        <v>2026-04</v>
      </c>
      <c r="E854" s="4" t="s">
        <v>368</v>
      </c>
      <c r="F854" s="4" t="s">
        <v>13</v>
      </c>
      <c r="G854" s="5" t="n">
        <v>1200</v>
      </c>
      <c r="H854" s="4" t="s">
        <v>74</v>
      </c>
    </row>
    <row r="855" customFormat="false" ht="15" hidden="false" customHeight="false" outlineLevel="0" collapsed="false">
      <c r="A855" s="2" t="s">
        <v>247</v>
      </c>
      <c r="B855" s="2" t="s">
        <v>185</v>
      </c>
      <c r="C855" s="3" t="n">
        <v>46137</v>
      </c>
      <c r="D855" s="2" t="str">
        <f aca="false">TEXT(C855,"YYYY-MM")</f>
        <v>2026-04</v>
      </c>
      <c r="E855" s="2" t="s">
        <v>276</v>
      </c>
      <c r="F855" s="4" t="s">
        <v>26</v>
      </c>
      <c r="G855" s="5" t="n">
        <v>1500</v>
      </c>
      <c r="H855" s="2"/>
    </row>
    <row r="856" customFormat="false" ht="15" hidden="false" customHeight="false" outlineLevel="0" collapsed="false">
      <c r="A856" s="2" t="s">
        <v>247</v>
      </c>
      <c r="B856" s="2" t="s">
        <v>185</v>
      </c>
      <c r="C856" s="3" t="n">
        <v>46137</v>
      </c>
      <c r="D856" s="2" t="str">
        <f aca="false">TEXT(C856,"YYYY-MM")</f>
        <v>2026-04</v>
      </c>
      <c r="E856" s="2" t="s">
        <v>164</v>
      </c>
      <c r="F856" s="4" t="s">
        <v>22</v>
      </c>
      <c r="G856" s="5" t="n">
        <v>1380</v>
      </c>
      <c r="H856" s="4" t="s">
        <v>42</v>
      </c>
    </row>
    <row r="857" customFormat="false" ht="15" hidden="false" customHeight="false" outlineLevel="0" collapsed="false">
      <c r="A857" s="2" t="s">
        <v>247</v>
      </c>
      <c r="B857" s="2" t="s">
        <v>185</v>
      </c>
      <c r="C857" s="3" t="n">
        <v>46137</v>
      </c>
      <c r="D857" s="2" t="str">
        <f aca="false">TEXT(C857,"YYYY-MM")</f>
        <v>2026-04</v>
      </c>
      <c r="E857" s="4" t="s">
        <v>369</v>
      </c>
      <c r="F857" s="4" t="s">
        <v>22</v>
      </c>
      <c r="G857" s="5" t="n">
        <v>4030</v>
      </c>
      <c r="H857" s="2"/>
    </row>
    <row r="858" customFormat="false" ht="15" hidden="false" customHeight="false" outlineLevel="0" collapsed="false">
      <c r="A858" s="2" t="s">
        <v>247</v>
      </c>
      <c r="B858" s="2" t="s">
        <v>185</v>
      </c>
      <c r="C858" s="3" t="n">
        <v>46138</v>
      </c>
      <c r="D858" s="2" t="str">
        <f aca="false">TEXT(C858,"YYYY-MM")</f>
        <v>2026-04</v>
      </c>
      <c r="E858" s="4" t="s">
        <v>370</v>
      </c>
      <c r="F858" s="4" t="s">
        <v>22</v>
      </c>
      <c r="G858" s="5" t="n">
        <v>12254</v>
      </c>
      <c r="H858" s="2"/>
    </row>
    <row r="859" customFormat="false" ht="15" hidden="false" customHeight="false" outlineLevel="0" collapsed="false">
      <c r="A859" s="2" t="s">
        <v>247</v>
      </c>
      <c r="B859" s="2" t="s">
        <v>185</v>
      </c>
      <c r="C859" s="3" t="n">
        <v>46140</v>
      </c>
      <c r="D859" s="2" t="str">
        <f aca="false">TEXT(C859,"YYYY-MM")</f>
        <v>2026-04</v>
      </c>
      <c r="E859" s="4" t="s">
        <v>129</v>
      </c>
      <c r="F859" s="4" t="s">
        <v>105</v>
      </c>
      <c r="G859" s="5" t="n">
        <v>345</v>
      </c>
      <c r="H859" s="2"/>
    </row>
    <row r="860" customFormat="false" ht="15" hidden="false" customHeight="false" outlineLevel="0" collapsed="false">
      <c r="A860" s="2" t="s">
        <v>247</v>
      </c>
      <c r="B860" s="2" t="s">
        <v>185</v>
      </c>
      <c r="C860" s="3" t="n">
        <v>46140</v>
      </c>
      <c r="D860" s="2" t="str">
        <f aca="false">TEXT(C860,"YYYY-MM")</f>
        <v>2026-04</v>
      </c>
      <c r="E860" s="2" t="s">
        <v>164</v>
      </c>
      <c r="F860" s="4" t="s">
        <v>22</v>
      </c>
      <c r="G860" s="5" t="n">
        <v>1000</v>
      </c>
      <c r="H860" s="4" t="s">
        <v>42</v>
      </c>
    </row>
    <row r="861" customFormat="false" ht="15" hidden="false" customHeight="false" outlineLevel="0" collapsed="false">
      <c r="A861" s="2" t="s">
        <v>247</v>
      </c>
      <c r="B861" s="2" t="s">
        <v>185</v>
      </c>
      <c r="C861" s="3" t="n">
        <v>46140</v>
      </c>
      <c r="D861" s="2" t="str">
        <f aca="false">TEXT(C861,"YYYY-MM")</f>
        <v>2026-04</v>
      </c>
      <c r="E861" s="4" t="s">
        <v>371</v>
      </c>
      <c r="F861" s="4" t="s">
        <v>28</v>
      </c>
      <c r="G861" s="5" t="n">
        <v>500</v>
      </c>
      <c r="H861" s="2"/>
    </row>
    <row r="862" customFormat="false" ht="15" hidden="false" customHeight="false" outlineLevel="0" collapsed="false">
      <c r="A862" s="2" t="s">
        <v>247</v>
      </c>
      <c r="B862" s="2" t="s">
        <v>185</v>
      </c>
      <c r="C862" s="3" t="n">
        <v>46141</v>
      </c>
      <c r="D862" s="2" t="str">
        <f aca="false">TEXT(C862,"YYYY-MM")</f>
        <v>2026-04</v>
      </c>
      <c r="E862" s="2" t="s">
        <v>248</v>
      </c>
      <c r="F862" s="4" t="s">
        <v>37</v>
      </c>
      <c r="G862" s="5" t="n">
        <v>3888</v>
      </c>
      <c r="H862" s="2"/>
    </row>
    <row r="863" customFormat="false" ht="15" hidden="false" customHeight="false" outlineLevel="0" collapsed="false">
      <c r="A863" s="2" t="s">
        <v>247</v>
      </c>
      <c r="B863" s="2" t="s">
        <v>185</v>
      </c>
      <c r="C863" s="3" t="n">
        <v>46141</v>
      </c>
      <c r="D863" s="2" t="str">
        <f aca="false">TEXT(C863,"YYYY-MM")</f>
        <v>2026-04</v>
      </c>
      <c r="E863" s="2" t="s">
        <v>248</v>
      </c>
      <c r="F863" s="4" t="s">
        <v>37</v>
      </c>
      <c r="G863" s="5" t="n">
        <v>3300</v>
      </c>
      <c r="H863" s="2"/>
    </row>
    <row r="864" customFormat="false" ht="15" hidden="false" customHeight="false" outlineLevel="0" collapsed="false">
      <c r="A864" s="2" t="s">
        <v>247</v>
      </c>
      <c r="B864" s="2" t="s">
        <v>185</v>
      </c>
      <c r="C864" s="3" t="n">
        <v>46141</v>
      </c>
      <c r="D864" s="2" t="str">
        <f aca="false">TEXT(C864,"YYYY-MM")</f>
        <v>2026-04</v>
      </c>
      <c r="E864" s="2" t="s">
        <v>248</v>
      </c>
      <c r="F864" s="4" t="s">
        <v>37</v>
      </c>
      <c r="G864" s="5" t="n">
        <v>51000</v>
      </c>
      <c r="H864" s="4" t="s">
        <v>334</v>
      </c>
    </row>
    <row r="865" customFormat="false" ht="15" hidden="false" customHeight="false" outlineLevel="0" collapsed="false">
      <c r="A865" s="2" t="s">
        <v>247</v>
      </c>
      <c r="B865" s="2" t="s">
        <v>185</v>
      </c>
      <c r="C865" s="3" t="n">
        <v>46141</v>
      </c>
      <c r="D865" s="2" t="str">
        <f aca="false">TEXT(C865,"YYYY-MM")</f>
        <v>2026-04</v>
      </c>
      <c r="E865" s="4" t="s">
        <v>372</v>
      </c>
      <c r="F865" s="4" t="s">
        <v>17</v>
      </c>
      <c r="G865" s="5" t="n">
        <v>1000</v>
      </c>
      <c r="H865" s="4" t="s">
        <v>18</v>
      </c>
    </row>
    <row r="866" customFormat="false" ht="15" hidden="false" customHeight="false" outlineLevel="0" collapsed="false">
      <c r="A866" s="2" t="s">
        <v>247</v>
      </c>
      <c r="B866" s="2" t="s">
        <v>185</v>
      </c>
      <c r="C866" s="3" t="n">
        <v>46141</v>
      </c>
      <c r="D866" s="2" t="str">
        <f aca="false">TEXT(C866,"YYYY-MM")</f>
        <v>2026-04</v>
      </c>
      <c r="E866" s="4" t="s">
        <v>373</v>
      </c>
      <c r="F866" s="4" t="s">
        <v>22</v>
      </c>
      <c r="G866" s="5" t="n">
        <v>3270</v>
      </c>
      <c r="H866" s="2"/>
    </row>
    <row r="867" customFormat="false" ht="15" hidden="false" customHeight="false" outlineLevel="0" collapsed="false">
      <c r="A867" s="2" t="s">
        <v>247</v>
      </c>
      <c r="B867" s="2" t="s">
        <v>185</v>
      </c>
      <c r="C867" s="3" t="n">
        <v>46142</v>
      </c>
      <c r="D867" s="2" t="str">
        <f aca="false">TEXT(C867,"YYYY-MM")</f>
        <v>2026-04</v>
      </c>
      <c r="E867" s="2" t="s">
        <v>164</v>
      </c>
      <c r="F867" s="4" t="s">
        <v>22</v>
      </c>
      <c r="G867" s="5" t="n">
        <v>1000</v>
      </c>
      <c r="H867" s="4" t="s">
        <v>42</v>
      </c>
    </row>
    <row r="868" customFormat="false" ht="15" hidden="false" customHeight="false" outlineLevel="0" collapsed="false">
      <c r="A868" s="2" t="s">
        <v>247</v>
      </c>
      <c r="B868" s="2" t="s">
        <v>185</v>
      </c>
      <c r="C868" s="3" t="n">
        <v>46142</v>
      </c>
      <c r="D868" s="2" t="str">
        <f aca="false">TEXT(C868,"YYYY-MM")</f>
        <v>2026-04</v>
      </c>
      <c r="E868" s="4" t="s">
        <v>374</v>
      </c>
      <c r="F868" s="4" t="s">
        <v>105</v>
      </c>
      <c r="G868" s="5" t="n">
        <v>3190</v>
      </c>
      <c r="H868" s="4" t="s">
        <v>375</v>
      </c>
    </row>
    <row r="869" customFormat="false" ht="15" hidden="false" customHeight="false" outlineLevel="0" collapsed="false">
      <c r="A869" s="2" t="s">
        <v>247</v>
      </c>
      <c r="B869" s="2" t="s">
        <v>185</v>
      </c>
      <c r="C869" s="3" t="n">
        <v>46143</v>
      </c>
      <c r="D869" s="2" t="str">
        <f aca="false">TEXT(C869,"YYYY-MM")</f>
        <v>2026-05</v>
      </c>
      <c r="E869" s="4" t="s">
        <v>56</v>
      </c>
      <c r="F869" s="4" t="s">
        <v>22</v>
      </c>
      <c r="G869" s="5" t="n">
        <v>394</v>
      </c>
      <c r="H869" s="4" t="s">
        <v>42</v>
      </c>
    </row>
    <row r="870" customFormat="false" ht="15" hidden="false" customHeight="false" outlineLevel="0" collapsed="false">
      <c r="A870" s="2" t="s">
        <v>247</v>
      </c>
      <c r="B870" s="2" t="s">
        <v>185</v>
      </c>
      <c r="C870" s="3" t="n">
        <v>46143</v>
      </c>
      <c r="D870" s="2" t="str">
        <f aca="false">TEXT(C870,"YYYY-MM")</f>
        <v>2026-05</v>
      </c>
      <c r="E870" s="4" t="s">
        <v>376</v>
      </c>
      <c r="F870" s="4" t="s">
        <v>13</v>
      </c>
      <c r="G870" s="5" t="n">
        <v>700</v>
      </c>
      <c r="H870" s="4" t="s">
        <v>74</v>
      </c>
    </row>
    <row r="871" customFormat="false" ht="15" hidden="false" customHeight="false" outlineLevel="0" collapsed="false">
      <c r="A871" s="2" t="s">
        <v>247</v>
      </c>
      <c r="B871" s="2" t="s">
        <v>185</v>
      </c>
      <c r="C871" s="3" t="n">
        <v>46143</v>
      </c>
      <c r="D871" s="2" t="str">
        <f aca="false">TEXT(C871,"YYYY-MM")</f>
        <v>2026-05</v>
      </c>
      <c r="E871" s="4" t="s">
        <v>377</v>
      </c>
      <c r="F871" s="4" t="s">
        <v>22</v>
      </c>
      <c r="G871" s="5" t="n">
        <v>16445</v>
      </c>
      <c r="H871" s="2"/>
    </row>
    <row r="872" customFormat="false" ht="15" hidden="false" customHeight="false" outlineLevel="0" collapsed="false">
      <c r="A872" s="2" t="s">
        <v>247</v>
      </c>
      <c r="B872" s="2" t="s">
        <v>185</v>
      </c>
      <c r="C872" s="3" t="n">
        <v>46143</v>
      </c>
      <c r="D872" s="2" t="str">
        <f aca="false">TEXT(C872,"YYYY-MM")</f>
        <v>2026-05</v>
      </c>
      <c r="E872" s="4" t="s">
        <v>378</v>
      </c>
      <c r="F872" s="4" t="s">
        <v>22</v>
      </c>
      <c r="G872" s="5" t="n">
        <v>2210</v>
      </c>
      <c r="H872" s="2"/>
    </row>
    <row r="873" customFormat="false" ht="15" hidden="false" customHeight="false" outlineLevel="0" collapsed="false">
      <c r="A873" s="2" t="s">
        <v>247</v>
      </c>
      <c r="B873" s="2" t="s">
        <v>185</v>
      </c>
      <c r="C873" s="3" t="n">
        <v>46143</v>
      </c>
      <c r="D873" s="2" t="str">
        <f aca="false">TEXT(C873,"YYYY-MM")</f>
        <v>2026-05</v>
      </c>
      <c r="E873" s="2" t="s">
        <v>164</v>
      </c>
      <c r="F873" s="4" t="s">
        <v>22</v>
      </c>
      <c r="G873" s="5" t="n">
        <v>1960</v>
      </c>
      <c r="H873" s="4" t="s">
        <v>42</v>
      </c>
    </row>
    <row r="874" customFormat="false" ht="15" hidden="false" customHeight="false" outlineLevel="0" collapsed="false">
      <c r="A874" s="2" t="s">
        <v>247</v>
      </c>
      <c r="B874" s="2" t="s">
        <v>185</v>
      </c>
      <c r="C874" s="3" t="n">
        <v>46143</v>
      </c>
      <c r="D874" s="2" t="str">
        <f aca="false">TEXT(C874,"YYYY-MM")</f>
        <v>2026-05</v>
      </c>
      <c r="E874" s="4" t="s">
        <v>371</v>
      </c>
      <c r="F874" s="4" t="s">
        <v>28</v>
      </c>
      <c r="G874" s="5" t="n">
        <v>500</v>
      </c>
      <c r="H874" s="2"/>
    </row>
    <row r="875" customFormat="false" ht="15" hidden="false" customHeight="false" outlineLevel="0" collapsed="false">
      <c r="A875" s="2" t="s">
        <v>247</v>
      </c>
      <c r="B875" s="2" t="s">
        <v>185</v>
      </c>
      <c r="C875" s="3" t="n">
        <v>46145</v>
      </c>
      <c r="D875" s="2" t="str">
        <f aca="false">TEXT(C875,"YYYY-MM")</f>
        <v>2026-05</v>
      </c>
      <c r="E875" s="4" t="s">
        <v>262</v>
      </c>
      <c r="F875" s="4" t="s">
        <v>17</v>
      </c>
      <c r="G875" s="5" t="n">
        <v>2000</v>
      </c>
      <c r="H875" s="4" t="s">
        <v>18</v>
      </c>
    </row>
    <row r="876" customFormat="false" ht="15" hidden="false" customHeight="false" outlineLevel="0" collapsed="false">
      <c r="A876" s="2" t="s">
        <v>247</v>
      </c>
      <c r="B876" s="2" t="s">
        <v>185</v>
      </c>
      <c r="C876" s="3" t="n">
        <v>46145</v>
      </c>
      <c r="D876" s="2" t="str">
        <f aca="false">TEXT(C876,"YYYY-MM")</f>
        <v>2026-05</v>
      </c>
      <c r="E876" s="4" t="s">
        <v>379</v>
      </c>
      <c r="F876" s="4" t="s">
        <v>22</v>
      </c>
      <c r="G876" s="5" t="n">
        <v>4256</v>
      </c>
      <c r="H876" s="2"/>
    </row>
    <row r="877" customFormat="false" ht="15" hidden="false" customHeight="false" outlineLevel="0" collapsed="false">
      <c r="A877" s="2" t="s">
        <v>247</v>
      </c>
      <c r="B877" s="2" t="s">
        <v>185</v>
      </c>
      <c r="C877" s="3" t="n">
        <v>46146</v>
      </c>
      <c r="D877" s="2" t="str">
        <f aca="false">TEXT(C877,"YYYY-MM")</f>
        <v>2026-05</v>
      </c>
      <c r="E877" s="2" t="s">
        <v>380</v>
      </c>
      <c r="F877" s="4" t="s">
        <v>22</v>
      </c>
      <c r="G877" s="5" t="n">
        <v>1700</v>
      </c>
      <c r="H877" s="2"/>
    </row>
    <row r="878" customFormat="false" ht="15" hidden="false" customHeight="false" outlineLevel="0" collapsed="false">
      <c r="A878" s="2" t="s">
        <v>247</v>
      </c>
      <c r="B878" s="2" t="s">
        <v>185</v>
      </c>
      <c r="C878" s="3" t="n">
        <v>46147</v>
      </c>
      <c r="D878" s="2" t="str">
        <f aca="false">TEXT(C878,"YYYY-MM")</f>
        <v>2026-05</v>
      </c>
      <c r="E878" s="2" t="s">
        <v>269</v>
      </c>
      <c r="F878" s="4" t="s">
        <v>17</v>
      </c>
      <c r="G878" s="5" t="n">
        <v>4734</v>
      </c>
      <c r="H878" s="4" t="s">
        <v>30</v>
      </c>
    </row>
    <row r="879" customFormat="false" ht="15" hidden="false" customHeight="false" outlineLevel="0" collapsed="false">
      <c r="A879" s="2" t="s">
        <v>247</v>
      </c>
      <c r="B879" s="2" t="s">
        <v>185</v>
      </c>
      <c r="C879" s="3" t="n">
        <v>46148</v>
      </c>
      <c r="D879" s="2" t="str">
        <f aca="false">TEXT(C879,"YYYY-MM")</f>
        <v>2026-05</v>
      </c>
      <c r="E879" s="2" t="s">
        <v>164</v>
      </c>
      <c r="F879" s="4" t="s">
        <v>22</v>
      </c>
      <c r="G879" s="5" t="n">
        <v>1000</v>
      </c>
      <c r="H879" s="4" t="s">
        <v>42</v>
      </c>
    </row>
    <row r="880" customFormat="false" ht="15" hidden="false" customHeight="false" outlineLevel="0" collapsed="false">
      <c r="A880" s="2" t="s">
        <v>247</v>
      </c>
      <c r="B880" s="2" t="s">
        <v>185</v>
      </c>
      <c r="C880" s="3" t="n">
        <v>46154</v>
      </c>
      <c r="D880" s="2" t="str">
        <f aca="false">TEXT(C880,"YYYY-MM")</f>
        <v>2026-05</v>
      </c>
      <c r="E880" s="2" t="s">
        <v>381</v>
      </c>
      <c r="F880" s="4" t="s">
        <v>37</v>
      </c>
      <c r="G880" s="5" t="n">
        <v>30000</v>
      </c>
      <c r="H880" s="2"/>
    </row>
    <row r="881" customFormat="false" ht="15" hidden="false" customHeight="false" outlineLevel="0" collapsed="false">
      <c r="A881" s="2" t="s">
        <v>247</v>
      </c>
      <c r="B881" s="2" t="s">
        <v>185</v>
      </c>
      <c r="C881" s="3" t="n">
        <v>46154</v>
      </c>
      <c r="D881" s="2" t="str">
        <f aca="false">TEXT(C881,"YYYY-MM")</f>
        <v>2026-05</v>
      </c>
      <c r="E881" s="4" t="s">
        <v>290</v>
      </c>
      <c r="F881" s="4" t="s">
        <v>87</v>
      </c>
      <c r="G881" s="5" t="n">
        <v>16500</v>
      </c>
      <c r="H881" s="4" t="s">
        <v>88</v>
      </c>
    </row>
    <row r="882" customFormat="false" ht="15" hidden="false" customHeight="false" outlineLevel="0" collapsed="false">
      <c r="A882" s="2" t="s">
        <v>247</v>
      </c>
      <c r="B882" s="2" t="s">
        <v>185</v>
      </c>
      <c r="C882" s="3" t="n">
        <v>46155</v>
      </c>
      <c r="D882" s="2" t="str">
        <f aca="false">TEXT(C882,"YYYY-MM")</f>
        <v>2026-05</v>
      </c>
      <c r="E882" s="4" t="s">
        <v>64</v>
      </c>
      <c r="F882" s="4" t="s">
        <v>62</v>
      </c>
      <c r="G882" s="5" t="n">
        <v>2537800</v>
      </c>
      <c r="H882" s="4" t="s">
        <v>382</v>
      </c>
    </row>
    <row r="883" customFormat="false" ht="15" hidden="false" customHeight="false" outlineLevel="0" collapsed="false">
      <c r="A883" s="2" t="s">
        <v>247</v>
      </c>
      <c r="B883" s="2" t="s">
        <v>185</v>
      </c>
      <c r="C883" s="3" t="n">
        <v>46155</v>
      </c>
      <c r="D883" s="2" t="str">
        <f aca="false">TEXT(C883,"YYYY-MM")</f>
        <v>2026-05</v>
      </c>
      <c r="E883" s="4" t="s">
        <v>64</v>
      </c>
      <c r="F883" s="4" t="s">
        <v>62</v>
      </c>
      <c r="G883" s="5" t="n">
        <v>488200</v>
      </c>
      <c r="H883" s="2"/>
    </row>
    <row r="884" customFormat="false" ht="15" hidden="false" customHeight="false" outlineLevel="0" collapsed="false">
      <c r="A884" s="2" t="s">
        <v>247</v>
      </c>
      <c r="B884" s="2" t="s">
        <v>185</v>
      </c>
      <c r="C884" s="3" t="n">
        <v>46155</v>
      </c>
      <c r="D884" s="2" t="str">
        <f aca="false">TEXT(C884,"YYYY-MM")</f>
        <v>2026-05</v>
      </c>
      <c r="E884" s="4" t="s">
        <v>61</v>
      </c>
      <c r="F884" s="4" t="s">
        <v>62</v>
      </c>
      <c r="G884" s="5" t="n">
        <v>20913</v>
      </c>
      <c r="H884" s="4" t="s">
        <v>63</v>
      </c>
    </row>
    <row r="885" customFormat="false" ht="15" hidden="false" customHeight="false" outlineLevel="0" collapsed="false">
      <c r="A885" s="2" t="s">
        <v>247</v>
      </c>
      <c r="B885" s="2" t="s">
        <v>185</v>
      </c>
      <c r="C885" s="3" t="n">
        <v>46155</v>
      </c>
      <c r="D885" s="2" t="str">
        <f aca="false">TEXT(C885,"YYYY-MM")</f>
        <v>2026-05</v>
      </c>
      <c r="E885" s="4" t="s">
        <v>61</v>
      </c>
      <c r="F885" s="4" t="s">
        <v>62</v>
      </c>
      <c r="G885" s="5" t="n">
        <v>4000</v>
      </c>
      <c r="H885" s="4" t="s">
        <v>63</v>
      </c>
    </row>
    <row r="886" customFormat="false" ht="15" hidden="false" customHeight="false" outlineLevel="0" collapsed="false">
      <c r="A886" s="2" t="s">
        <v>247</v>
      </c>
      <c r="B886" s="2" t="s">
        <v>185</v>
      </c>
      <c r="C886" s="3" t="n">
        <v>46155</v>
      </c>
      <c r="D886" s="2" t="str">
        <f aca="false">TEXT(C886,"YYYY-MM")</f>
        <v>2026-05</v>
      </c>
      <c r="E886" s="2" t="s">
        <v>164</v>
      </c>
      <c r="F886" s="4" t="s">
        <v>22</v>
      </c>
      <c r="G886" s="5" t="n">
        <v>1000</v>
      </c>
      <c r="H886" s="4" t="s">
        <v>42</v>
      </c>
    </row>
    <row r="887" customFormat="false" ht="15" hidden="false" customHeight="false" outlineLevel="0" collapsed="false">
      <c r="A887" s="2" t="s">
        <v>247</v>
      </c>
      <c r="B887" s="2" t="s">
        <v>185</v>
      </c>
      <c r="C887" s="3" t="n">
        <v>46156</v>
      </c>
      <c r="D887" s="2" t="str">
        <f aca="false">TEXT(C887,"YYYY-MM")</f>
        <v>2026-05</v>
      </c>
      <c r="E887" s="4" t="s">
        <v>383</v>
      </c>
      <c r="F887" s="4" t="s">
        <v>15</v>
      </c>
      <c r="G887" s="5" t="n">
        <v>13284</v>
      </c>
      <c r="H887" s="2" t="s">
        <v>384</v>
      </c>
    </row>
    <row r="888" customFormat="false" ht="15" hidden="false" customHeight="false" outlineLevel="0" collapsed="false">
      <c r="A888" s="2" t="s">
        <v>247</v>
      </c>
      <c r="B888" s="2" t="s">
        <v>185</v>
      </c>
      <c r="C888" s="3" t="n">
        <v>46157</v>
      </c>
      <c r="D888" s="2" t="str">
        <f aca="false">TEXT(C888,"YYYY-MM")</f>
        <v>2026-05</v>
      </c>
      <c r="E888" s="2" t="s">
        <v>297</v>
      </c>
      <c r="F888" s="4" t="s">
        <v>137</v>
      </c>
      <c r="G888" s="5" t="n">
        <v>36784</v>
      </c>
      <c r="H888" s="4" t="s">
        <v>298</v>
      </c>
    </row>
    <row r="889" customFormat="false" ht="15" hidden="false" customHeight="false" outlineLevel="0" collapsed="false">
      <c r="A889" s="2" t="s">
        <v>247</v>
      </c>
      <c r="B889" s="2" t="s">
        <v>185</v>
      </c>
      <c r="C889" s="3" t="n">
        <v>46157</v>
      </c>
      <c r="D889" s="2" t="str">
        <f aca="false">TEXT(C889,"YYYY-MM")</f>
        <v>2026-05</v>
      </c>
      <c r="E889" s="2" t="s">
        <v>361</v>
      </c>
      <c r="F889" s="4" t="s">
        <v>137</v>
      </c>
      <c r="G889" s="5" t="n">
        <v>990</v>
      </c>
      <c r="H889" s="2"/>
    </row>
    <row r="890" customFormat="false" ht="15" hidden="false" customHeight="false" outlineLevel="0" collapsed="false">
      <c r="A890" s="2" t="s">
        <v>247</v>
      </c>
      <c r="B890" s="2" t="s">
        <v>185</v>
      </c>
      <c r="C890" s="3" t="n">
        <v>46128</v>
      </c>
      <c r="D890" s="2" t="str">
        <f aca="false">TEXT(C890,"YYYY-MM")</f>
        <v>2026-04</v>
      </c>
      <c r="E890" s="2" t="s">
        <v>385</v>
      </c>
      <c r="F890" s="4" t="s">
        <v>35</v>
      </c>
      <c r="G890" s="5" t="n">
        <v>3631</v>
      </c>
      <c r="H890" s="2" t="s">
        <v>386</v>
      </c>
    </row>
    <row r="891" customFormat="false" ht="15" hidden="false" customHeight="false" outlineLevel="0" collapsed="false">
      <c r="A891" s="2" t="s">
        <v>247</v>
      </c>
      <c r="B891" s="2" t="s">
        <v>185</v>
      </c>
      <c r="C891" s="3" t="n">
        <v>46130</v>
      </c>
      <c r="D891" s="2" t="str">
        <f aca="false">TEXT(C891,"YYYY-MM")</f>
        <v>2026-04</v>
      </c>
      <c r="E891" s="2" t="s">
        <v>385</v>
      </c>
      <c r="F891" s="4" t="s">
        <v>35</v>
      </c>
      <c r="G891" s="5" t="n">
        <v>8182</v>
      </c>
      <c r="H891" s="2" t="s">
        <v>387</v>
      </c>
    </row>
    <row r="892" customFormat="false" ht="15" hidden="false" customHeight="false" outlineLevel="0" collapsed="false">
      <c r="A892" s="2" t="s">
        <v>247</v>
      </c>
      <c r="B892" s="2" t="s">
        <v>185</v>
      </c>
      <c r="C892" s="3" t="n">
        <v>46134</v>
      </c>
      <c r="D892" s="2" t="str">
        <f aca="false">TEXT(C892,"YYYY-MM")</f>
        <v>2026-04</v>
      </c>
      <c r="E892" s="2" t="s">
        <v>388</v>
      </c>
      <c r="F892" s="4" t="s">
        <v>22</v>
      </c>
      <c r="G892" s="5" t="n">
        <v>315</v>
      </c>
      <c r="H892" s="4" t="s">
        <v>177</v>
      </c>
    </row>
    <row r="893" customFormat="false" ht="15" hidden="false" customHeight="false" outlineLevel="0" collapsed="false">
      <c r="A893" s="2" t="s">
        <v>247</v>
      </c>
      <c r="B893" s="2" t="s">
        <v>185</v>
      </c>
      <c r="C893" s="3" t="n">
        <v>46136</v>
      </c>
      <c r="D893" s="2" t="str">
        <f aca="false">TEXT(C893,"YYYY-MM")</f>
        <v>2026-04</v>
      </c>
      <c r="E893" s="2" t="s">
        <v>389</v>
      </c>
      <c r="F893" s="4" t="s">
        <v>28</v>
      </c>
      <c r="G893" s="5" t="n">
        <v>16987</v>
      </c>
      <c r="H893" s="4" t="s">
        <v>390</v>
      </c>
    </row>
    <row r="894" customFormat="false" ht="15" hidden="false" customHeight="false" outlineLevel="0" collapsed="false">
      <c r="A894" s="2" t="s">
        <v>247</v>
      </c>
      <c r="B894" s="2" t="s">
        <v>185</v>
      </c>
      <c r="C894" s="3" t="n">
        <v>46155</v>
      </c>
      <c r="D894" s="2" t="str">
        <f aca="false">TEXT(C894,"YYYY-MM")</f>
        <v>2026-05</v>
      </c>
      <c r="E894" s="2" t="s">
        <v>385</v>
      </c>
      <c r="F894" s="4" t="s">
        <v>35</v>
      </c>
      <c r="G894" s="5" t="n">
        <v>35581</v>
      </c>
      <c r="H894" s="2" t="s">
        <v>391</v>
      </c>
    </row>
    <row r="895" customFormat="false" ht="15" hidden="false" customHeight="false" outlineLevel="0" collapsed="false">
      <c r="A895" s="2" t="s">
        <v>247</v>
      </c>
      <c r="B895" s="2" t="s">
        <v>220</v>
      </c>
      <c r="C895" s="3" t="n">
        <v>46168</v>
      </c>
      <c r="D895" s="2" t="str">
        <f aca="false">TEXT(C895,"YYYY-MM")</f>
        <v>2026-05</v>
      </c>
      <c r="E895" s="2" t="s">
        <v>248</v>
      </c>
      <c r="F895" s="4" t="s">
        <v>37</v>
      </c>
      <c r="G895" s="5" t="n">
        <v>2600</v>
      </c>
      <c r="H895" s="2"/>
    </row>
    <row r="896" customFormat="false" ht="15" hidden="false" customHeight="false" outlineLevel="0" collapsed="false">
      <c r="A896" s="2" t="s">
        <v>247</v>
      </c>
      <c r="B896" s="2" t="s">
        <v>220</v>
      </c>
      <c r="C896" s="3" t="n">
        <v>46168</v>
      </c>
      <c r="D896" s="2" t="str">
        <f aca="false">TEXT(C896,"YYYY-MM")</f>
        <v>2026-05</v>
      </c>
      <c r="E896" s="4" t="s">
        <v>392</v>
      </c>
      <c r="F896" s="4" t="s">
        <v>173</v>
      </c>
      <c r="G896" s="5" t="n">
        <v>33000</v>
      </c>
      <c r="H896" s="2"/>
    </row>
    <row r="897" customFormat="false" ht="15" hidden="false" customHeight="false" outlineLevel="0" collapsed="false">
      <c r="A897" s="2" t="s">
        <v>247</v>
      </c>
      <c r="B897" s="2" t="s">
        <v>220</v>
      </c>
      <c r="C897" s="3" t="n">
        <v>46169</v>
      </c>
      <c r="D897" s="2" t="str">
        <f aca="false">TEXT(C897,"YYYY-MM")</f>
        <v>2026-05</v>
      </c>
      <c r="E897" s="2" t="s">
        <v>393</v>
      </c>
      <c r="F897" s="4" t="s">
        <v>37</v>
      </c>
      <c r="G897" s="5" t="n">
        <v>4510</v>
      </c>
      <c r="H897" s="4" t="s">
        <v>394</v>
      </c>
    </row>
    <row r="898" customFormat="false" ht="15" hidden="false" customHeight="false" outlineLevel="0" collapsed="false">
      <c r="A898" s="2" t="s">
        <v>247</v>
      </c>
      <c r="B898" s="2" t="s">
        <v>220</v>
      </c>
      <c r="C898" s="3" t="n">
        <v>46169</v>
      </c>
      <c r="D898" s="2" t="str">
        <f aca="false">TEXT(C898,"YYYY-MM")</f>
        <v>2026-05</v>
      </c>
      <c r="E898" s="4" t="s">
        <v>314</v>
      </c>
      <c r="F898" s="4" t="s">
        <v>68</v>
      </c>
      <c r="G898" s="5" t="n">
        <v>13750</v>
      </c>
      <c r="H898" s="4" t="s">
        <v>69</v>
      </c>
    </row>
    <row r="899" customFormat="false" ht="15" hidden="false" customHeight="false" outlineLevel="0" collapsed="false">
      <c r="A899" s="2" t="s">
        <v>247</v>
      </c>
      <c r="B899" s="2" t="s">
        <v>220</v>
      </c>
      <c r="C899" s="3" t="n">
        <v>46170</v>
      </c>
      <c r="D899" s="2" t="str">
        <f aca="false">TEXT(C899,"YYYY-MM")</f>
        <v>2026-05</v>
      </c>
      <c r="E899" s="2" t="s">
        <v>248</v>
      </c>
      <c r="F899" s="4" t="s">
        <v>37</v>
      </c>
      <c r="G899" s="5" t="n">
        <v>4840</v>
      </c>
      <c r="H899" s="2"/>
    </row>
    <row r="900" customFormat="false" ht="15" hidden="false" customHeight="false" outlineLevel="0" collapsed="false">
      <c r="A900" s="2" t="s">
        <v>247</v>
      </c>
      <c r="B900" s="2" t="s">
        <v>220</v>
      </c>
      <c r="C900" s="3" t="n">
        <v>46170</v>
      </c>
      <c r="D900" s="2" t="str">
        <f aca="false">TEXT(C900,"YYYY-MM")</f>
        <v>2026-05</v>
      </c>
      <c r="E900" s="2" t="s">
        <v>248</v>
      </c>
      <c r="F900" s="4" t="s">
        <v>37</v>
      </c>
      <c r="G900" s="5" t="n">
        <v>349</v>
      </c>
      <c r="H900" s="2"/>
    </row>
    <row r="901" customFormat="false" ht="15" hidden="false" customHeight="false" outlineLevel="0" collapsed="false">
      <c r="A901" s="2" t="s">
        <v>247</v>
      </c>
      <c r="B901" s="2" t="s">
        <v>220</v>
      </c>
      <c r="C901" s="3" t="n">
        <v>46170</v>
      </c>
      <c r="D901" s="2" t="str">
        <f aca="false">TEXT(C901,"YYYY-MM")</f>
        <v>2026-05</v>
      </c>
      <c r="E901" s="2" t="s">
        <v>248</v>
      </c>
      <c r="F901" s="4" t="s">
        <v>37</v>
      </c>
      <c r="G901" s="5" t="n">
        <v>4950</v>
      </c>
      <c r="H901" s="2"/>
    </row>
    <row r="902" customFormat="false" ht="15" hidden="false" customHeight="false" outlineLevel="0" collapsed="false">
      <c r="A902" s="2" t="s">
        <v>247</v>
      </c>
      <c r="B902" s="2" t="s">
        <v>220</v>
      </c>
      <c r="C902" s="3" t="n">
        <v>46170</v>
      </c>
      <c r="D902" s="2" t="str">
        <f aca="false">TEXT(C902,"YYYY-MM")</f>
        <v>2026-05</v>
      </c>
      <c r="E902" s="4" t="s">
        <v>395</v>
      </c>
      <c r="F902" s="4" t="s">
        <v>22</v>
      </c>
      <c r="G902" s="5" t="n">
        <v>15630</v>
      </c>
      <c r="H902" s="2"/>
    </row>
    <row r="903" customFormat="false" ht="15" hidden="false" customHeight="false" outlineLevel="0" collapsed="false">
      <c r="A903" s="2" t="s">
        <v>247</v>
      </c>
      <c r="B903" s="2" t="s">
        <v>220</v>
      </c>
      <c r="C903" s="3" t="n">
        <v>46171</v>
      </c>
      <c r="D903" s="2" t="str">
        <f aca="false">TEXT(C903,"YYYY-MM")</f>
        <v>2026-05</v>
      </c>
      <c r="E903" s="2" t="s">
        <v>248</v>
      </c>
      <c r="F903" s="4" t="s">
        <v>37</v>
      </c>
      <c r="G903" s="5" t="n">
        <v>2200</v>
      </c>
      <c r="H903" s="2"/>
    </row>
    <row r="904" customFormat="false" ht="15" hidden="false" customHeight="false" outlineLevel="0" collapsed="false">
      <c r="A904" s="2" t="s">
        <v>247</v>
      </c>
      <c r="B904" s="2" t="s">
        <v>220</v>
      </c>
      <c r="C904" s="3" t="n">
        <v>46171</v>
      </c>
      <c r="D904" s="2" t="str">
        <f aca="false">TEXT(C904,"YYYY-MM")</f>
        <v>2026-05</v>
      </c>
      <c r="E904" s="2" t="s">
        <v>396</v>
      </c>
      <c r="F904" s="4" t="s">
        <v>13</v>
      </c>
      <c r="G904" s="5" t="n">
        <v>33000</v>
      </c>
      <c r="H904" s="4" t="s">
        <v>397</v>
      </c>
    </row>
    <row r="905" customFormat="false" ht="15" hidden="false" customHeight="false" outlineLevel="0" collapsed="false">
      <c r="A905" s="2" t="s">
        <v>247</v>
      </c>
      <c r="B905" s="2" t="s">
        <v>220</v>
      </c>
      <c r="C905" s="3" t="n">
        <v>46171</v>
      </c>
      <c r="D905" s="2" t="str">
        <f aca="false">TEXT(C905,"YYYY-MM")</f>
        <v>2026-05</v>
      </c>
      <c r="E905" s="2" t="s">
        <v>396</v>
      </c>
      <c r="F905" s="4" t="s">
        <v>13</v>
      </c>
      <c r="G905" s="5" t="n">
        <v>22000</v>
      </c>
      <c r="H905" s="4" t="s">
        <v>397</v>
      </c>
    </row>
    <row r="906" customFormat="false" ht="15" hidden="false" customHeight="false" outlineLevel="0" collapsed="false">
      <c r="A906" s="2" t="s">
        <v>247</v>
      </c>
      <c r="B906" s="2" t="s">
        <v>220</v>
      </c>
      <c r="C906" s="3" t="n">
        <v>46171</v>
      </c>
      <c r="D906" s="2" t="str">
        <f aca="false">TEXT(C906,"YYYY-MM")</f>
        <v>2026-05</v>
      </c>
      <c r="E906" s="4" t="s">
        <v>207</v>
      </c>
      <c r="F906" s="4" t="s">
        <v>58</v>
      </c>
      <c r="G906" s="5" t="n">
        <v>17093</v>
      </c>
      <c r="H906" s="2"/>
    </row>
    <row r="907" customFormat="false" ht="15" hidden="false" customHeight="false" outlineLevel="0" collapsed="false">
      <c r="A907" s="2" t="s">
        <v>247</v>
      </c>
      <c r="B907" s="2" t="s">
        <v>220</v>
      </c>
      <c r="C907" s="3" t="n">
        <v>46171</v>
      </c>
      <c r="D907" s="2" t="str">
        <f aca="false">TEXT(C907,"YYYY-MM")</f>
        <v>2026-05</v>
      </c>
      <c r="E907" s="4" t="s">
        <v>207</v>
      </c>
      <c r="F907" s="4" t="s">
        <v>58</v>
      </c>
      <c r="G907" s="5" t="n">
        <v>9632</v>
      </c>
      <c r="H907" s="2"/>
    </row>
    <row r="908" customFormat="false" ht="15" hidden="false" customHeight="false" outlineLevel="0" collapsed="false">
      <c r="A908" s="2" t="s">
        <v>247</v>
      </c>
      <c r="B908" s="2" t="s">
        <v>220</v>
      </c>
      <c r="C908" s="3" t="n">
        <v>46171</v>
      </c>
      <c r="D908" s="2" t="str">
        <f aca="false">TEXT(C908,"YYYY-MM")</f>
        <v>2026-05</v>
      </c>
      <c r="E908" s="2" t="s">
        <v>164</v>
      </c>
      <c r="F908" s="4" t="s">
        <v>22</v>
      </c>
      <c r="G908" s="5" t="n">
        <v>1000</v>
      </c>
      <c r="H908" s="4" t="s">
        <v>42</v>
      </c>
    </row>
    <row r="909" customFormat="false" ht="15" hidden="false" customHeight="false" outlineLevel="0" collapsed="false">
      <c r="A909" s="2" t="s">
        <v>247</v>
      </c>
      <c r="B909" s="2" t="s">
        <v>220</v>
      </c>
      <c r="C909" s="3" t="n">
        <v>46172</v>
      </c>
      <c r="D909" s="2" t="str">
        <f aca="false">TEXT(C909,"YYYY-MM")</f>
        <v>2026-05</v>
      </c>
      <c r="E909" s="4" t="s">
        <v>398</v>
      </c>
      <c r="F909" s="4" t="s">
        <v>17</v>
      </c>
      <c r="G909" s="5" t="n">
        <v>1000</v>
      </c>
      <c r="H909" s="4" t="s">
        <v>18</v>
      </c>
    </row>
    <row r="910" customFormat="false" ht="15" hidden="false" customHeight="false" outlineLevel="0" collapsed="false">
      <c r="A910" s="2" t="s">
        <v>247</v>
      </c>
      <c r="B910" s="2" t="s">
        <v>220</v>
      </c>
      <c r="C910" s="3" t="n">
        <v>46172</v>
      </c>
      <c r="D910" s="2" t="str">
        <f aca="false">TEXT(C910,"YYYY-MM")</f>
        <v>2026-05</v>
      </c>
      <c r="E910" s="2" t="s">
        <v>269</v>
      </c>
      <c r="F910" s="4" t="s">
        <v>17</v>
      </c>
      <c r="G910" s="5" t="n">
        <v>5786</v>
      </c>
      <c r="H910" s="4" t="s">
        <v>30</v>
      </c>
    </row>
    <row r="911" customFormat="false" ht="15" hidden="false" customHeight="false" outlineLevel="0" collapsed="false">
      <c r="A911" s="2" t="s">
        <v>247</v>
      </c>
      <c r="B911" s="2" t="s">
        <v>220</v>
      </c>
      <c r="C911" s="3" t="n">
        <v>46172</v>
      </c>
      <c r="D911" s="2" t="str">
        <f aca="false">TEXT(C911,"YYYY-MM")</f>
        <v>2026-05</v>
      </c>
      <c r="E911" s="4" t="s">
        <v>399</v>
      </c>
      <c r="F911" s="4" t="s">
        <v>22</v>
      </c>
      <c r="G911" s="5" t="n">
        <v>6765</v>
      </c>
      <c r="H911" s="2"/>
    </row>
    <row r="912" customFormat="false" ht="15" hidden="false" customHeight="false" outlineLevel="0" collapsed="false">
      <c r="A912" s="2" t="s">
        <v>247</v>
      </c>
      <c r="B912" s="2" t="s">
        <v>220</v>
      </c>
      <c r="C912" s="3" t="n">
        <v>46173</v>
      </c>
      <c r="D912" s="2" t="str">
        <f aca="false">TEXT(C912,"YYYY-MM")</f>
        <v>2026-05</v>
      </c>
      <c r="E912" s="2" t="s">
        <v>164</v>
      </c>
      <c r="F912" s="4" t="s">
        <v>22</v>
      </c>
      <c r="G912" s="5" t="n">
        <v>1000</v>
      </c>
      <c r="H912" s="4" t="s">
        <v>42</v>
      </c>
    </row>
    <row r="913" customFormat="false" ht="15" hidden="false" customHeight="false" outlineLevel="0" collapsed="false">
      <c r="A913" s="2" t="s">
        <v>247</v>
      </c>
      <c r="B913" s="2" t="s">
        <v>220</v>
      </c>
      <c r="C913" s="3" t="n">
        <v>46173</v>
      </c>
      <c r="D913" s="2" t="str">
        <f aca="false">TEXT(C913,"YYYY-MM")</f>
        <v>2026-05</v>
      </c>
      <c r="E913" s="4" t="s">
        <v>400</v>
      </c>
      <c r="F913" s="4" t="s">
        <v>22</v>
      </c>
      <c r="G913" s="5" t="n">
        <v>550</v>
      </c>
      <c r="H913" s="4" t="s">
        <v>42</v>
      </c>
    </row>
    <row r="914" customFormat="false" ht="15" hidden="false" customHeight="false" outlineLevel="0" collapsed="false">
      <c r="A914" s="2" t="s">
        <v>247</v>
      </c>
      <c r="B914" s="2" t="s">
        <v>220</v>
      </c>
      <c r="C914" s="3" t="n">
        <v>46174</v>
      </c>
      <c r="D914" s="2" t="str">
        <f aca="false">TEXT(C914,"YYYY-MM")</f>
        <v>2026-06</v>
      </c>
      <c r="E914" s="2" t="s">
        <v>248</v>
      </c>
      <c r="F914" s="4" t="s">
        <v>37</v>
      </c>
      <c r="G914" s="5" t="n">
        <v>2108</v>
      </c>
      <c r="H914" s="2"/>
    </row>
    <row r="915" customFormat="false" ht="15" hidden="false" customHeight="false" outlineLevel="0" collapsed="false">
      <c r="A915" s="2" t="s">
        <v>247</v>
      </c>
      <c r="B915" s="2" t="s">
        <v>220</v>
      </c>
      <c r="C915" s="3" t="n">
        <v>46174</v>
      </c>
      <c r="D915" s="2" t="str">
        <f aca="false">TEXT(C915,"YYYY-MM")</f>
        <v>2026-06</v>
      </c>
      <c r="E915" s="2" t="s">
        <v>164</v>
      </c>
      <c r="F915" s="4" t="s">
        <v>22</v>
      </c>
      <c r="G915" s="5" t="n">
        <v>700</v>
      </c>
      <c r="H915" s="4" t="s">
        <v>42</v>
      </c>
    </row>
    <row r="916" customFormat="false" ht="15" hidden="false" customHeight="false" outlineLevel="0" collapsed="false">
      <c r="A916" s="2" t="s">
        <v>247</v>
      </c>
      <c r="B916" s="2" t="s">
        <v>220</v>
      </c>
      <c r="C916" s="3" t="n">
        <v>46174</v>
      </c>
      <c r="D916" s="2" t="str">
        <f aca="false">TEXT(C916,"YYYY-MM")</f>
        <v>2026-06</v>
      </c>
      <c r="E916" s="2" t="s">
        <v>164</v>
      </c>
      <c r="F916" s="4" t="s">
        <v>22</v>
      </c>
      <c r="G916" s="5" t="n">
        <v>1000</v>
      </c>
      <c r="H916" s="4" t="s">
        <v>42</v>
      </c>
    </row>
    <row r="917" customFormat="false" ht="15" hidden="false" customHeight="false" outlineLevel="0" collapsed="false">
      <c r="A917" s="2" t="s">
        <v>247</v>
      </c>
      <c r="B917" s="2" t="s">
        <v>220</v>
      </c>
      <c r="C917" s="3" t="n">
        <v>46174</v>
      </c>
      <c r="D917" s="2" t="str">
        <f aca="false">TEXT(C917,"YYYY-MM")</f>
        <v>2026-06</v>
      </c>
      <c r="E917" s="2" t="s">
        <v>401</v>
      </c>
      <c r="F917" s="4" t="s">
        <v>37</v>
      </c>
      <c r="G917" s="5" t="n">
        <v>264800</v>
      </c>
      <c r="H917" s="4" t="s">
        <v>402</v>
      </c>
    </row>
    <row r="918" customFormat="false" ht="15" hidden="false" customHeight="false" outlineLevel="0" collapsed="false">
      <c r="A918" s="2" t="s">
        <v>247</v>
      </c>
      <c r="B918" s="2" t="s">
        <v>220</v>
      </c>
      <c r="C918" s="3" t="n">
        <v>46175</v>
      </c>
      <c r="D918" s="2" t="str">
        <f aca="false">TEXT(C918,"YYYY-MM")</f>
        <v>2026-06</v>
      </c>
      <c r="E918" s="2" t="s">
        <v>248</v>
      </c>
      <c r="F918" s="4" t="s">
        <v>37</v>
      </c>
      <c r="G918" s="5" t="n">
        <v>5401</v>
      </c>
      <c r="H918" s="2"/>
    </row>
    <row r="919" customFormat="false" ht="15" hidden="false" customHeight="false" outlineLevel="0" collapsed="false">
      <c r="A919" s="2" t="s">
        <v>247</v>
      </c>
      <c r="B919" s="2" t="s">
        <v>220</v>
      </c>
      <c r="C919" s="3" t="n">
        <v>46175</v>
      </c>
      <c r="D919" s="2" t="str">
        <f aca="false">TEXT(C919,"YYYY-MM")</f>
        <v>2026-06</v>
      </c>
      <c r="E919" s="2" t="s">
        <v>248</v>
      </c>
      <c r="F919" s="4" t="s">
        <v>37</v>
      </c>
      <c r="G919" s="5" t="n">
        <v>4239</v>
      </c>
      <c r="H919" s="2"/>
    </row>
    <row r="920" customFormat="false" ht="15" hidden="false" customHeight="false" outlineLevel="0" collapsed="false">
      <c r="A920" s="2" t="s">
        <v>247</v>
      </c>
      <c r="B920" s="2" t="s">
        <v>220</v>
      </c>
      <c r="C920" s="3" t="n">
        <v>46176</v>
      </c>
      <c r="D920" s="2" t="str">
        <f aca="false">TEXT(C920,"YYYY-MM")</f>
        <v>2026-06</v>
      </c>
      <c r="E920" s="2" t="s">
        <v>403</v>
      </c>
      <c r="F920" s="4" t="s">
        <v>35</v>
      </c>
      <c r="G920" s="5" t="n">
        <v>1580</v>
      </c>
      <c r="H920" s="2"/>
    </row>
    <row r="921" customFormat="false" ht="15" hidden="false" customHeight="false" outlineLevel="0" collapsed="false">
      <c r="A921" s="2" t="s">
        <v>247</v>
      </c>
      <c r="B921" s="2" t="s">
        <v>220</v>
      </c>
      <c r="C921" s="3" t="n">
        <v>46178</v>
      </c>
      <c r="D921" s="2" t="str">
        <f aca="false">TEXT(C921,"YYYY-MM")</f>
        <v>2026-06</v>
      </c>
      <c r="E921" s="4" t="s">
        <v>207</v>
      </c>
      <c r="F921" s="4" t="s">
        <v>58</v>
      </c>
      <c r="G921" s="5" t="n">
        <v>33000</v>
      </c>
      <c r="H921" s="2"/>
    </row>
    <row r="922" customFormat="false" ht="15" hidden="false" customHeight="false" outlineLevel="0" collapsed="false">
      <c r="A922" s="2" t="s">
        <v>247</v>
      </c>
      <c r="B922" s="2" t="s">
        <v>220</v>
      </c>
      <c r="C922" s="3" t="n">
        <v>46178</v>
      </c>
      <c r="D922" s="2" t="str">
        <f aca="false">TEXT(C922,"YYYY-MM")</f>
        <v>2026-06</v>
      </c>
      <c r="E922" s="4" t="s">
        <v>207</v>
      </c>
      <c r="F922" s="4" t="s">
        <v>58</v>
      </c>
      <c r="G922" s="5" t="n">
        <v>5970</v>
      </c>
      <c r="H922" s="2"/>
    </row>
    <row r="923" customFormat="false" ht="15" hidden="false" customHeight="false" outlineLevel="0" collapsed="false">
      <c r="A923" s="2" t="s">
        <v>247</v>
      </c>
      <c r="B923" s="2" t="s">
        <v>220</v>
      </c>
      <c r="C923" s="3" t="n">
        <v>46183</v>
      </c>
      <c r="D923" s="2" t="str">
        <f aca="false">TEXT(C923,"YYYY-MM")</f>
        <v>2026-06</v>
      </c>
      <c r="E923" s="2" t="s">
        <v>361</v>
      </c>
      <c r="F923" s="4" t="s">
        <v>137</v>
      </c>
      <c r="G923" s="5" t="n">
        <v>990</v>
      </c>
      <c r="H923" s="2"/>
    </row>
    <row r="924" customFormat="false" ht="15" hidden="false" customHeight="false" outlineLevel="0" collapsed="false">
      <c r="A924" s="2" t="s">
        <v>247</v>
      </c>
      <c r="B924" s="2" t="s">
        <v>220</v>
      </c>
      <c r="C924" s="3" t="n">
        <v>46183</v>
      </c>
      <c r="D924" s="2" t="str">
        <f aca="false">TEXT(C924,"YYYY-MM")</f>
        <v>2026-06</v>
      </c>
      <c r="E924" s="2" t="s">
        <v>297</v>
      </c>
      <c r="F924" s="4" t="s">
        <v>137</v>
      </c>
      <c r="G924" s="5" t="n">
        <v>36784</v>
      </c>
      <c r="H924" s="4" t="s">
        <v>298</v>
      </c>
    </row>
    <row r="925" customFormat="false" ht="15" hidden="false" customHeight="false" outlineLevel="0" collapsed="false">
      <c r="A925" s="2" t="s">
        <v>247</v>
      </c>
      <c r="B925" s="2" t="s">
        <v>220</v>
      </c>
      <c r="C925" s="3" t="n">
        <v>46183</v>
      </c>
      <c r="D925" s="2" t="str">
        <f aca="false">TEXT(C925,"YYYY-MM")</f>
        <v>2026-06</v>
      </c>
      <c r="E925" s="4" t="s">
        <v>64</v>
      </c>
      <c r="F925" s="4" t="s">
        <v>62</v>
      </c>
      <c r="G925" s="5" t="n">
        <v>336800</v>
      </c>
      <c r="H925" s="2"/>
    </row>
    <row r="926" customFormat="false" ht="15" hidden="false" customHeight="false" outlineLevel="0" collapsed="false">
      <c r="A926" s="2" t="s">
        <v>247</v>
      </c>
      <c r="B926" s="2" t="s">
        <v>220</v>
      </c>
      <c r="C926" s="3" t="n">
        <v>46183</v>
      </c>
      <c r="D926" s="2" t="str">
        <f aca="false">TEXT(C926,"YYYY-MM")</f>
        <v>2026-06</v>
      </c>
      <c r="E926" s="4" t="s">
        <v>64</v>
      </c>
      <c r="F926" s="4" t="s">
        <v>62</v>
      </c>
      <c r="G926" s="5" t="n">
        <v>558500</v>
      </c>
      <c r="H926" s="2"/>
    </row>
    <row r="927" customFormat="false" ht="15" hidden="false" customHeight="false" outlineLevel="0" collapsed="false">
      <c r="A927" s="2" t="s">
        <v>247</v>
      </c>
      <c r="B927" s="2" t="s">
        <v>220</v>
      </c>
      <c r="C927" s="3" t="n">
        <v>46183</v>
      </c>
      <c r="D927" s="2" t="str">
        <f aca="false">TEXT(C927,"YYYY-MM")</f>
        <v>2026-06</v>
      </c>
      <c r="E927" s="4" t="s">
        <v>61</v>
      </c>
      <c r="F927" s="4" t="s">
        <v>62</v>
      </c>
      <c r="G927" s="5" t="n">
        <v>2763</v>
      </c>
      <c r="H927" s="4" t="s">
        <v>63</v>
      </c>
    </row>
    <row r="928" customFormat="false" ht="15" hidden="false" customHeight="false" outlineLevel="0" collapsed="false">
      <c r="A928" s="2" t="s">
        <v>247</v>
      </c>
      <c r="B928" s="2" t="s">
        <v>220</v>
      </c>
      <c r="C928" s="3" t="n">
        <v>46183</v>
      </c>
      <c r="D928" s="2" t="str">
        <f aca="false">TEXT(C928,"YYYY-MM")</f>
        <v>2026-06</v>
      </c>
      <c r="E928" s="4" t="s">
        <v>61</v>
      </c>
      <c r="F928" s="4" t="s">
        <v>62</v>
      </c>
      <c r="G928" s="5" t="n">
        <v>4578</v>
      </c>
      <c r="H928" s="4" t="s">
        <v>63</v>
      </c>
    </row>
    <row r="929" customFormat="false" ht="15" hidden="false" customHeight="false" outlineLevel="0" collapsed="false">
      <c r="A929" s="2" t="s">
        <v>247</v>
      </c>
      <c r="B929" s="2" t="s">
        <v>220</v>
      </c>
      <c r="C929" s="3" t="n">
        <v>46184</v>
      </c>
      <c r="D929" s="2" t="str">
        <f aca="false">TEXT(C929,"YYYY-MM")</f>
        <v>2026-06</v>
      </c>
      <c r="E929" s="2" t="s">
        <v>404</v>
      </c>
      <c r="F929" s="4" t="s">
        <v>13</v>
      </c>
      <c r="G929" s="5" t="n">
        <v>14520</v>
      </c>
      <c r="H929" s="2"/>
    </row>
    <row r="930" customFormat="false" ht="15" hidden="false" customHeight="false" outlineLevel="0" collapsed="false">
      <c r="A930" s="2" t="s">
        <v>247</v>
      </c>
      <c r="B930" s="2" t="s">
        <v>220</v>
      </c>
      <c r="C930" s="3" t="n">
        <v>46184</v>
      </c>
      <c r="D930" s="2" t="str">
        <f aca="false">TEXT(C930,"YYYY-MM")</f>
        <v>2026-06</v>
      </c>
      <c r="E930" s="2" t="s">
        <v>248</v>
      </c>
      <c r="F930" s="4" t="s">
        <v>37</v>
      </c>
      <c r="G930" s="5" t="n">
        <v>13000</v>
      </c>
      <c r="H930" s="2"/>
    </row>
    <row r="931" customFormat="false" ht="15" hidden="false" customHeight="false" outlineLevel="0" collapsed="false">
      <c r="A931" s="2" t="s">
        <v>247</v>
      </c>
      <c r="B931" s="2" t="s">
        <v>220</v>
      </c>
      <c r="C931" s="3" t="n">
        <v>46184</v>
      </c>
      <c r="D931" s="2" t="str">
        <f aca="false">TEXT(C931,"YYYY-MM")</f>
        <v>2026-06</v>
      </c>
      <c r="E931" s="2" t="s">
        <v>248</v>
      </c>
      <c r="F931" s="4" t="s">
        <v>37</v>
      </c>
      <c r="G931" s="5" t="n">
        <v>9350</v>
      </c>
      <c r="H931" s="2"/>
    </row>
    <row r="932" customFormat="false" ht="15" hidden="false" customHeight="false" outlineLevel="0" collapsed="false">
      <c r="A932" s="2" t="s">
        <v>247</v>
      </c>
      <c r="B932" s="2" t="s">
        <v>220</v>
      </c>
      <c r="C932" s="3" t="n">
        <v>46184</v>
      </c>
      <c r="D932" s="2" t="str">
        <f aca="false">TEXT(C932,"YYYY-MM")</f>
        <v>2026-06</v>
      </c>
      <c r="E932" s="4" t="s">
        <v>405</v>
      </c>
      <c r="F932" s="4" t="s">
        <v>37</v>
      </c>
      <c r="G932" s="5" t="n">
        <v>9966</v>
      </c>
      <c r="H932" s="2"/>
    </row>
    <row r="933" customFormat="false" ht="15" hidden="false" customHeight="false" outlineLevel="0" collapsed="false">
      <c r="A933" s="2" t="s">
        <v>247</v>
      </c>
      <c r="B933" s="2" t="s">
        <v>220</v>
      </c>
      <c r="C933" s="3" t="n">
        <v>46184</v>
      </c>
      <c r="D933" s="2" t="str">
        <f aca="false">TEXT(C933,"YYYY-MM")</f>
        <v>2026-06</v>
      </c>
      <c r="E933" s="4" t="s">
        <v>406</v>
      </c>
      <c r="F933" s="4" t="s">
        <v>22</v>
      </c>
      <c r="G933" s="5" t="n">
        <v>3355</v>
      </c>
      <c r="H933" s="2"/>
    </row>
    <row r="934" customFormat="false" ht="15" hidden="false" customHeight="false" outlineLevel="0" collapsed="false">
      <c r="A934" s="2" t="s">
        <v>247</v>
      </c>
      <c r="B934" s="2" t="s">
        <v>220</v>
      </c>
      <c r="C934" s="3" t="n">
        <v>46184</v>
      </c>
      <c r="D934" s="2" t="str">
        <f aca="false">TEXT(C934,"YYYY-MM")</f>
        <v>2026-06</v>
      </c>
      <c r="E934" s="4" t="s">
        <v>60</v>
      </c>
      <c r="F934" s="4" t="s">
        <v>37</v>
      </c>
      <c r="G934" s="5" t="n">
        <v>6050</v>
      </c>
      <c r="H934" s="2"/>
    </row>
    <row r="935" customFormat="false" ht="15" hidden="false" customHeight="false" outlineLevel="0" collapsed="false">
      <c r="A935" s="2" t="s">
        <v>247</v>
      </c>
      <c r="B935" s="2" t="s">
        <v>220</v>
      </c>
      <c r="C935" s="3" t="n">
        <v>46184</v>
      </c>
      <c r="D935" s="2" t="str">
        <f aca="false">TEXT(C935,"YYYY-MM")</f>
        <v>2026-06</v>
      </c>
      <c r="E935" s="4" t="s">
        <v>407</v>
      </c>
      <c r="F935" s="4" t="s">
        <v>28</v>
      </c>
      <c r="G935" s="5" t="n">
        <v>1460</v>
      </c>
      <c r="H935" s="2"/>
    </row>
    <row r="936" customFormat="false" ht="15" hidden="false" customHeight="false" outlineLevel="0" collapsed="false">
      <c r="A936" s="2" t="s">
        <v>247</v>
      </c>
      <c r="B936" s="2" t="s">
        <v>220</v>
      </c>
      <c r="C936" s="3" t="n">
        <v>46185</v>
      </c>
      <c r="D936" s="2" t="str">
        <f aca="false">TEXT(C936,"YYYY-MM")</f>
        <v>2026-06</v>
      </c>
      <c r="E936" s="2" t="s">
        <v>408</v>
      </c>
      <c r="F936" s="4" t="s">
        <v>13</v>
      </c>
      <c r="G936" s="5" t="n">
        <v>6460</v>
      </c>
      <c r="H936" s="2"/>
    </row>
    <row r="937" customFormat="false" ht="15" hidden="false" customHeight="false" outlineLevel="0" collapsed="false">
      <c r="A937" s="2" t="s">
        <v>247</v>
      </c>
      <c r="B937" s="2" t="s">
        <v>220</v>
      </c>
      <c r="C937" s="3" t="n">
        <v>46185</v>
      </c>
      <c r="D937" s="2" t="str">
        <f aca="false">TEXT(C937,"YYYY-MM")</f>
        <v>2026-06</v>
      </c>
      <c r="E937" s="2" t="s">
        <v>409</v>
      </c>
      <c r="F937" s="4" t="s">
        <v>13</v>
      </c>
      <c r="G937" s="5" t="n">
        <v>7350</v>
      </c>
      <c r="H937" s="2"/>
    </row>
    <row r="938" customFormat="false" ht="15" hidden="false" customHeight="false" outlineLevel="0" collapsed="false">
      <c r="A938" s="2" t="s">
        <v>247</v>
      </c>
      <c r="B938" s="2" t="s">
        <v>220</v>
      </c>
      <c r="C938" s="3" t="n">
        <v>46185</v>
      </c>
      <c r="D938" s="2" t="str">
        <f aca="false">TEXT(C938,"YYYY-MM")</f>
        <v>2026-06</v>
      </c>
      <c r="E938" s="2" t="s">
        <v>248</v>
      </c>
      <c r="F938" s="4" t="s">
        <v>37</v>
      </c>
      <c r="G938" s="5" t="n">
        <v>4324</v>
      </c>
      <c r="H938" s="2"/>
    </row>
    <row r="939" customFormat="false" ht="15" hidden="false" customHeight="false" outlineLevel="0" collapsed="false">
      <c r="A939" s="2" t="s">
        <v>247</v>
      </c>
      <c r="B939" s="2" t="s">
        <v>220</v>
      </c>
      <c r="C939" s="3" t="n">
        <v>46185</v>
      </c>
      <c r="D939" s="2" t="str">
        <f aca="false">TEXT(C939,"YYYY-MM")</f>
        <v>2026-06</v>
      </c>
      <c r="E939" s="2" t="s">
        <v>410</v>
      </c>
      <c r="F939" s="4" t="s">
        <v>105</v>
      </c>
      <c r="G939" s="5" t="n">
        <v>1463</v>
      </c>
      <c r="H939" s="2"/>
    </row>
    <row r="940" customFormat="false" ht="15" hidden="false" customHeight="false" outlineLevel="0" collapsed="false">
      <c r="A940" s="2" t="s">
        <v>247</v>
      </c>
      <c r="B940" s="2" t="s">
        <v>220</v>
      </c>
      <c r="C940" s="3" t="n">
        <v>46185</v>
      </c>
      <c r="D940" s="2" t="str">
        <f aca="false">TEXT(C940,"YYYY-MM")</f>
        <v>2026-06</v>
      </c>
      <c r="E940" s="2" t="s">
        <v>411</v>
      </c>
      <c r="F940" s="4" t="s">
        <v>13</v>
      </c>
      <c r="G940" s="5" t="n">
        <v>7350</v>
      </c>
      <c r="H940" s="2"/>
    </row>
    <row r="941" customFormat="false" ht="15" hidden="false" customHeight="false" outlineLevel="0" collapsed="false">
      <c r="A941" s="2" t="s">
        <v>247</v>
      </c>
      <c r="B941" s="2" t="s">
        <v>220</v>
      </c>
      <c r="C941" s="3" t="n">
        <v>46185</v>
      </c>
      <c r="D941" s="2" t="str">
        <f aca="false">TEXT(C941,"YYYY-MM")</f>
        <v>2026-06</v>
      </c>
      <c r="E941" s="4" t="s">
        <v>207</v>
      </c>
      <c r="F941" s="4" t="s">
        <v>58</v>
      </c>
      <c r="G941" s="5" t="n">
        <v>33000</v>
      </c>
      <c r="H941" s="2"/>
    </row>
    <row r="942" customFormat="false" ht="15" hidden="false" customHeight="false" outlineLevel="0" collapsed="false">
      <c r="A942" s="2" t="s">
        <v>247</v>
      </c>
      <c r="B942" s="2" t="s">
        <v>220</v>
      </c>
      <c r="C942" s="3" t="n">
        <v>46185</v>
      </c>
      <c r="D942" s="2" t="str">
        <f aca="false">TEXT(C942,"YYYY-MM")</f>
        <v>2026-06</v>
      </c>
      <c r="E942" s="4" t="s">
        <v>412</v>
      </c>
      <c r="F942" s="4" t="s">
        <v>28</v>
      </c>
      <c r="G942" s="5" t="n">
        <v>1250</v>
      </c>
      <c r="H942" s="2"/>
    </row>
    <row r="943" customFormat="false" ht="15" hidden="false" customHeight="false" outlineLevel="0" collapsed="false">
      <c r="A943" s="2" t="s">
        <v>247</v>
      </c>
      <c r="B943" s="2" t="s">
        <v>220</v>
      </c>
      <c r="C943" s="3" t="n">
        <v>46185</v>
      </c>
      <c r="D943" s="2" t="str">
        <f aca="false">TEXT(C943,"YYYY-MM")</f>
        <v>2026-06</v>
      </c>
      <c r="E943" s="4" t="s">
        <v>290</v>
      </c>
      <c r="F943" s="4" t="s">
        <v>87</v>
      </c>
      <c r="G943" s="5" t="n">
        <v>16500</v>
      </c>
      <c r="H943" s="4" t="s">
        <v>88</v>
      </c>
    </row>
    <row r="944" customFormat="false" ht="15" hidden="false" customHeight="false" outlineLevel="0" collapsed="false">
      <c r="A944" s="2" t="s">
        <v>247</v>
      </c>
      <c r="B944" s="2" t="s">
        <v>220</v>
      </c>
      <c r="C944" s="3" t="n">
        <v>46185</v>
      </c>
      <c r="D944" s="2" t="str">
        <f aca="false">TEXT(C944,"YYYY-MM")</f>
        <v>2026-06</v>
      </c>
      <c r="E944" s="2" t="s">
        <v>413</v>
      </c>
      <c r="F944" s="4" t="s">
        <v>105</v>
      </c>
      <c r="G944" s="5" t="n">
        <v>750</v>
      </c>
      <c r="H944" s="2"/>
    </row>
    <row r="945" customFormat="false" ht="15" hidden="false" customHeight="false" outlineLevel="0" collapsed="false">
      <c r="A945" s="2" t="s">
        <v>247</v>
      </c>
      <c r="B945" s="2" t="s">
        <v>220</v>
      </c>
      <c r="C945" s="3" t="n">
        <v>46185</v>
      </c>
      <c r="D945" s="2" t="str">
        <f aca="false">TEXT(C945,"YYYY-MM")</f>
        <v>2026-06</v>
      </c>
      <c r="E945" s="4" t="s">
        <v>406</v>
      </c>
      <c r="F945" s="4" t="s">
        <v>22</v>
      </c>
      <c r="G945" s="5" t="n">
        <v>4343</v>
      </c>
      <c r="H945" s="2"/>
    </row>
    <row r="946" customFormat="false" ht="15" hidden="false" customHeight="false" outlineLevel="0" collapsed="false">
      <c r="A946" s="2" t="s">
        <v>247</v>
      </c>
      <c r="B946" s="2" t="s">
        <v>220</v>
      </c>
      <c r="C946" s="3" t="n">
        <v>46186</v>
      </c>
      <c r="D946" s="2" t="str">
        <f aca="false">TEXT(C946,"YYYY-MM")</f>
        <v>2026-06</v>
      </c>
      <c r="E946" s="4" t="s">
        <v>414</v>
      </c>
      <c r="F946" s="4" t="s">
        <v>28</v>
      </c>
      <c r="G946" s="5" t="n">
        <v>4380</v>
      </c>
      <c r="H946" s="2"/>
    </row>
    <row r="947" customFormat="false" ht="15" hidden="false" customHeight="false" outlineLevel="0" collapsed="false">
      <c r="A947" s="2" t="s">
        <v>247</v>
      </c>
      <c r="B947" s="2" t="s">
        <v>220</v>
      </c>
      <c r="C947" s="3" t="n">
        <v>46186</v>
      </c>
      <c r="D947" s="2" t="str">
        <f aca="false">TEXT(C947,"YYYY-MM")</f>
        <v>2026-06</v>
      </c>
      <c r="E947" s="2" t="s">
        <v>415</v>
      </c>
      <c r="F947" s="4" t="s">
        <v>28</v>
      </c>
      <c r="G947" s="5" t="n">
        <v>1560</v>
      </c>
      <c r="H947" s="2"/>
    </row>
    <row r="948" customFormat="false" ht="15" hidden="false" customHeight="false" outlineLevel="0" collapsed="false">
      <c r="A948" s="2" t="s">
        <v>247</v>
      </c>
      <c r="B948" s="2" t="s">
        <v>220</v>
      </c>
      <c r="C948" s="3" t="n">
        <v>46186</v>
      </c>
      <c r="D948" s="2" t="str">
        <f aca="false">TEXT(C948,"YYYY-MM")</f>
        <v>2026-06</v>
      </c>
      <c r="E948" s="2" t="s">
        <v>408</v>
      </c>
      <c r="F948" s="4" t="s">
        <v>13</v>
      </c>
      <c r="G948" s="5" t="n">
        <v>14170</v>
      </c>
      <c r="H948" s="2"/>
    </row>
    <row r="949" customFormat="false" ht="15" hidden="false" customHeight="false" outlineLevel="0" collapsed="false">
      <c r="A949" s="2" t="s">
        <v>247</v>
      </c>
      <c r="B949" s="2" t="s">
        <v>220</v>
      </c>
      <c r="C949" s="3" t="n">
        <v>46186</v>
      </c>
      <c r="D949" s="2" t="str">
        <f aca="false">TEXT(C949,"YYYY-MM")</f>
        <v>2026-06</v>
      </c>
      <c r="E949" s="2" t="s">
        <v>409</v>
      </c>
      <c r="F949" s="4" t="s">
        <v>13</v>
      </c>
      <c r="G949" s="5" t="n">
        <v>8100</v>
      </c>
      <c r="H949" s="2"/>
    </row>
    <row r="950" customFormat="false" ht="15" hidden="false" customHeight="false" outlineLevel="0" collapsed="false">
      <c r="A950" s="2" t="s">
        <v>247</v>
      </c>
      <c r="B950" s="2" t="s">
        <v>220</v>
      </c>
      <c r="C950" s="3" t="n">
        <v>46187</v>
      </c>
      <c r="D950" s="2" t="str">
        <f aca="false">TEXT(C950,"YYYY-MM")</f>
        <v>2026-06</v>
      </c>
      <c r="E950" s="4" t="s">
        <v>383</v>
      </c>
      <c r="F950" s="4" t="s">
        <v>15</v>
      </c>
      <c r="G950" s="5" t="n">
        <v>8510</v>
      </c>
      <c r="H950" s="2" t="s">
        <v>416</v>
      </c>
    </row>
    <row r="951" customFormat="false" ht="15" hidden="false" customHeight="false" outlineLevel="0" collapsed="false">
      <c r="A951" s="2" t="s">
        <v>247</v>
      </c>
      <c r="B951" s="2" t="s">
        <v>220</v>
      </c>
      <c r="C951" s="3" t="n">
        <v>46187</v>
      </c>
      <c r="D951" s="2" t="str">
        <f aca="false">TEXT(C951,"YYYY-MM")</f>
        <v>2026-06</v>
      </c>
      <c r="E951" s="4" t="s">
        <v>417</v>
      </c>
      <c r="F951" s="4" t="s">
        <v>17</v>
      </c>
      <c r="G951" s="5" t="n">
        <v>1200</v>
      </c>
      <c r="H951" s="4" t="s">
        <v>18</v>
      </c>
    </row>
    <row r="952" customFormat="false" ht="15" hidden="false" customHeight="false" outlineLevel="0" collapsed="false">
      <c r="A952" s="2" t="s">
        <v>247</v>
      </c>
      <c r="B952" s="2" t="s">
        <v>220</v>
      </c>
      <c r="C952" s="3" t="n">
        <v>46188</v>
      </c>
      <c r="D952" s="2" t="str">
        <f aca="false">TEXT(C952,"YYYY-MM")</f>
        <v>2026-06</v>
      </c>
      <c r="E952" s="4" t="s">
        <v>262</v>
      </c>
      <c r="F952" s="4" t="s">
        <v>17</v>
      </c>
      <c r="G952" s="5" t="n">
        <v>4300</v>
      </c>
      <c r="H952" s="4" t="s">
        <v>18</v>
      </c>
    </row>
    <row r="953" customFormat="false" ht="15" hidden="false" customHeight="false" outlineLevel="0" collapsed="false">
      <c r="A953" s="2" t="s">
        <v>247</v>
      </c>
      <c r="B953" s="2" t="s">
        <v>220</v>
      </c>
      <c r="C953" s="3" t="n">
        <v>46161</v>
      </c>
      <c r="D953" s="2" t="str">
        <f aca="false">TEXT(C953,"YYYY-MM")</f>
        <v>2026-05</v>
      </c>
      <c r="E953" s="2" t="s">
        <v>418</v>
      </c>
      <c r="F953" s="4" t="s">
        <v>13</v>
      </c>
      <c r="G953" s="5" t="n">
        <v>11156</v>
      </c>
      <c r="H953" s="2" t="s">
        <v>419</v>
      </c>
    </row>
    <row r="954" customFormat="false" ht="15" hidden="false" customHeight="false" outlineLevel="0" collapsed="false">
      <c r="A954" s="2" t="s">
        <v>247</v>
      </c>
      <c r="B954" s="2" t="s">
        <v>220</v>
      </c>
      <c r="C954" s="3" t="n">
        <v>46162</v>
      </c>
      <c r="D954" s="2" t="str">
        <f aca="false">TEXT(C954,"YYYY-MM")</f>
        <v>2026-05</v>
      </c>
      <c r="E954" s="2" t="s">
        <v>420</v>
      </c>
      <c r="F954" s="4" t="s">
        <v>22</v>
      </c>
      <c r="G954" s="5" t="n">
        <v>516</v>
      </c>
      <c r="H954" s="4" t="s">
        <v>211</v>
      </c>
    </row>
    <row r="955" customFormat="false" ht="15" hidden="false" customHeight="false" outlineLevel="0" collapsed="false">
      <c r="A955" s="2" t="s">
        <v>247</v>
      </c>
      <c r="B955" s="2" t="s">
        <v>220</v>
      </c>
      <c r="C955" s="3" t="n">
        <v>46162</v>
      </c>
      <c r="D955" s="2" t="str">
        <f aca="false">TEXT(C955,"YYYY-MM")</f>
        <v>2026-05</v>
      </c>
      <c r="E955" s="2" t="s">
        <v>421</v>
      </c>
      <c r="F955" s="4" t="s">
        <v>13</v>
      </c>
      <c r="G955" s="5" t="n">
        <v>5038</v>
      </c>
      <c r="H955" s="4" t="s">
        <v>422</v>
      </c>
    </row>
    <row r="956" customFormat="false" ht="15" hidden="false" customHeight="false" outlineLevel="0" collapsed="false">
      <c r="A956" s="2" t="s">
        <v>247</v>
      </c>
      <c r="B956" s="2" t="s">
        <v>220</v>
      </c>
      <c r="C956" s="3" t="n">
        <v>46162</v>
      </c>
      <c r="D956" s="2" t="str">
        <f aca="false">TEXT(C956,"YYYY-MM")</f>
        <v>2026-05</v>
      </c>
      <c r="E956" s="2" t="s">
        <v>423</v>
      </c>
      <c r="F956" s="4" t="s">
        <v>22</v>
      </c>
      <c r="G956" s="5" t="n">
        <v>4908</v>
      </c>
      <c r="H956" s="4" t="s">
        <v>211</v>
      </c>
    </row>
    <row r="957" customFormat="false" ht="15" hidden="false" customHeight="false" outlineLevel="0" collapsed="false">
      <c r="A957" s="2" t="s">
        <v>247</v>
      </c>
      <c r="B957" s="2" t="s">
        <v>220</v>
      </c>
      <c r="C957" s="3" t="n">
        <v>46163</v>
      </c>
      <c r="D957" s="2" t="str">
        <f aca="false">TEXT(C957,"YYYY-MM")</f>
        <v>2026-05</v>
      </c>
      <c r="E957" s="2" t="s">
        <v>424</v>
      </c>
      <c r="F957" s="4" t="s">
        <v>105</v>
      </c>
      <c r="G957" s="5" t="n">
        <v>645</v>
      </c>
      <c r="H957" s="4" t="s">
        <v>211</v>
      </c>
    </row>
    <row r="958" customFormat="false" ht="15" hidden="false" customHeight="false" outlineLevel="0" collapsed="false">
      <c r="A958" s="2" t="s">
        <v>247</v>
      </c>
      <c r="B958" s="2" t="s">
        <v>220</v>
      </c>
      <c r="C958" s="3" t="n">
        <v>46164</v>
      </c>
      <c r="D958" s="2" t="str">
        <f aca="false">TEXT(C958,"YYYY-MM")</f>
        <v>2026-05</v>
      </c>
      <c r="E958" s="2" t="s">
        <v>425</v>
      </c>
      <c r="F958" s="4" t="s">
        <v>28</v>
      </c>
      <c r="G958" s="5" t="n">
        <v>1938</v>
      </c>
      <c r="H958" s="4" t="s">
        <v>211</v>
      </c>
    </row>
    <row r="959" customFormat="false" ht="15" hidden="false" customHeight="false" outlineLevel="0" collapsed="false">
      <c r="A959" s="2" t="s">
        <v>247</v>
      </c>
      <c r="B959" s="2" t="s">
        <v>220</v>
      </c>
      <c r="C959" s="3" t="n">
        <v>46164</v>
      </c>
      <c r="D959" s="2" t="str">
        <f aca="false">TEXT(C959,"YYYY-MM")</f>
        <v>2026-05</v>
      </c>
      <c r="E959" s="2" t="s">
        <v>423</v>
      </c>
      <c r="F959" s="4" t="s">
        <v>22</v>
      </c>
      <c r="G959" s="5" t="n">
        <v>4649</v>
      </c>
      <c r="H959" s="4" t="s">
        <v>211</v>
      </c>
    </row>
    <row r="960" customFormat="false" ht="15" hidden="false" customHeight="false" outlineLevel="0" collapsed="false">
      <c r="A960" s="2" t="s">
        <v>247</v>
      </c>
      <c r="B960" s="2" t="s">
        <v>220</v>
      </c>
      <c r="C960" s="3" t="n">
        <v>46164</v>
      </c>
      <c r="D960" s="2" t="str">
        <f aca="false">TEXT(C960,"YYYY-MM")</f>
        <v>2026-05</v>
      </c>
      <c r="E960" s="2" t="s">
        <v>423</v>
      </c>
      <c r="F960" s="4" t="s">
        <v>22</v>
      </c>
      <c r="G960" s="5" t="n">
        <v>4339</v>
      </c>
      <c r="H960" s="4" t="s">
        <v>211</v>
      </c>
    </row>
    <row r="961" customFormat="false" ht="15" hidden="false" customHeight="false" outlineLevel="0" collapsed="false">
      <c r="A961" s="2" t="s">
        <v>247</v>
      </c>
      <c r="B961" s="2" t="s">
        <v>220</v>
      </c>
      <c r="C961" s="3" t="n">
        <v>46164</v>
      </c>
      <c r="D961" s="2" t="str">
        <f aca="false">TEXT(C961,"YYYY-MM")</f>
        <v>2026-05</v>
      </c>
      <c r="E961" s="2" t="s">
        <v>423</v>
      </c>
      <c r="F961" s="4" t="s">
        <v>22</v>
      </c>
      <c r="G961" s="5" t="n">
        <v>3875</v>
      </c>
      <c r="H961" s="4" t="s">
        <v>211</v>
      </c>
    </row>
    <row r="962" customFormat="false" ht="15" hidden="false" customHeight="false" outlineLevel="0" collapsed="false">
      <c r="A962" s="2" t="s">
        <v>247</v>
      </c>
      <c r="B962" s="2" t="s">
        <v>220</v>
      </c>
      <c r="C962" s="3" t="n">
        <v>46164</v>
      </c>
      <c r="D962" s="2" t="str">
        <f aca="false">TEXT(C962,"YYYY-MM")</f>
        <v>2026-05</v>
      </c>
      <c r="E962" s="2" t="s">
        <v>426</v>
      </c>
      <c r="F962" s="4" t="s">
        <v>13</v>
      </c>
      <c r="G962" s="5" t="n">
        <v>3748</v>
      </c>
      <c r="H962" s="4" t="s">
        <v>211</v>
      </c>
    </row>
    <row r="963" customFormat="false" ht="15" hidden="false" customHeight="false" outlineLevel="0" collapsed="false">
      <c r="A963" s="2" t="s">
        <v>247</v>
      </c>
      <c r="B963" s="2" t="s">
        <v>220</v>
      </c>
      <c r="C963" s="3" t="n">
        <v>46163</v>
      </c>
      <c r="D963" s="2" t="str">
        <f aca="false">TEXT(C963,"YYYY-MM")</f>
        <v>2026-05</v>
      </c>
      <c r="E963" s="2" t="s">
        <v>427</v>
      </c>
      <c r="F963" s="4" t="s">
        <v>13</v>
      </c>
      <c r="G963" s="5" t="n">
        <v>2583</v>
      </c>
      <c r="H963" s="4" t="s">
        <v>422</v>
      </c>
    </row>
    <row r="964" customFormat="false" ht="15" hidden="false" customHeight="false" outlineLevel="0" collapsed="false">
      <c r="A964" s="2" t="s">
        <v>247</v>
      </c>
      <c r="B964" s="2" t="s">
        <v>220</v>
      </c>
      <c r="C964" s="3" t="n">
        <v>46164</v>
      </c>
      <c r="D964" s="2" t="str">
        <f aca="false">TEXT(C964,"YYYY-MM")</f>
        <v>2026-05</v>
      </c>
      <c r="E964" s="2" t="s">
        <v>428</v>
      </c>
      <c r="F964" s="4" t="s">
        <v>22</v>
      </c>
      <c r="G964" s="5" t="n">
        <v>7904</v>
      </c>
      <c r="H964" s="4" t="s">
        <v>211</v>
      </c>
    </row>
    <row r="965" customFormat="false" ht="15" hidden="false" customHeight="false" outlineLevel="0" collapsed="false">
      <c r="A965" s="2" t="s">
        <v>247</v>
      </c>
      <c r="B965" s="2" t="s">
        <v>220</v>
      </c>
      <c r="C965" s="3" t="n">
        <v>46164</v>
      </c>
      <c r="D965" s="2" t="str">
        <f aca="false">TEXT(C965,"YYYY-MM")</f>
        <v>2026-05</v>
      </c>
      <c r="E965" s="2" t="s">
        <v>429</v>
      </c>
      <c r="F965" s="4" t="s">
        <v>22</v>
      </c>
      <c r="G965" s="5" t="n">
        <v>1997</v>
      </c>
      <c r="H965" s="4" t="s">
        <v>211</v>
      </c>
    </row>
    <row r="966" customFormat="false" ht="15" hidden="false" customHeight="false" outlineLevel="0" collapsed="false">
      <c r="A966" s="2" t="s">
        <v>247</v>
      </c>
      <c r="B966" s="2" t="s">
        <v>220</v>
      </c>
      <c r="C966" s="3" t="n">
        <v>46165</v>
      </c>
      <c r="D966" s="2" t="str">
        <f aca="false">TEXT(C966,"YYYY-MM")</f>
        <v>2026-05</v>
      </c>
      <c r="E966" s="2" t="s">
        <v>430</v>
      </c>
      <c r="F966" s="4" t="s">
        <v>22</v>
      </c>
      <c r="G966" s="5" t="n">
        <v>3101</v>
      </c>
      <c r="H966" s="4" t="s">
        <v>211</v>
      </c>
    </row>
    <row r="967" customFormat="false" ht="15" hidden="false" customHeight="false" outlineLevel="0" collapsed="false">
      <c r="A967" s="2" t="s">
        <v>247</v>
      </c>
      <c r="B967" s="2" t="s">
        <v>220</v>
      </c>
      <c r="C967" s="3" t="n">
        <v>46165</v>
      </c>
      <c r="D967" s="2" t="str">
        <f aca="false">TEXT(C967,"YYYY-MM")</f>
        <v>2026-05</v>
      </c>
      <c r="E967" s="2" t="s">
        <v>431</v>
      </c>
      <c r="F967" s="4" t="s">
        <v>13</v>
      </c>
      <c r="G967" s="5" t="n">
        <v>13150</v>
      </c>
      <c r="H967" s="2" t="s">
        <v>419</v>
      </c>
    </row>
    <row r="968" customFormat="false" ht="15" hidden="false" customHeight="false" outlineLevel="0" collapsed="false">
      <c r="A968" s="2" t="s">
        <v>247</v>
      </c>
      <c r="B968" s="2" t="s">
        <v>220</v>
      </c>
      <c r="C968" s="3" t="n">
        <v>46186</v>
      </c>
      <c r="D968" s="2" t="str">
        <f aca="false">TEXT(C968,"YYYY-MM")</f>
        <v>2026-06</v>
      </c>
      <c r="E968" s="2" t="s">
        <v>385</v>
      </c>
      <c r="F968" s="4" t="s">
        <v>35</v>
      </c>
      <c r="G968" s="5" t="n">
        <v>36575</v>
      </c>
      <c r="H968" s="2" t="s">
        <v>432</v>
      </c>
    </row>
    <row r="969" customFormat="false" ht="15" hidden="false" customHeight="false" outlineLevel="0" collapsed="false">
      <c r="A969" s="2" t="s">
        <v>247</v>
      </c>
      <c r="B969" s="2" t="s">
        <v>244</v>
      </c>
      <c r="C969" s="3" t="n">
        <v>46204</v>
      </c>
      <c r="D969" s="2" t="str">
        <f aca="false">TEXT(C969,"YYYY-MM")</f>
        <v>2026-07</v>
      </c>
      <c r="E969" s="2" t="s">
        <v>433</v>
      </c>
      <c r="F969" s="4" t="s">
        <v>13</v>
      </c>
      <c r="G969" s="5" t="n">
        <v>23041</v>
      </c>
      <c r="H969" s="4" t="s">
        <v>434</v>
      </c>
    </row>
    <row r="970" customFormat="false" ht="15" hidden="false" customHeight="false" outlineLevel="0" collapsed="false">
      <c r="A970" s="2" t="s">
        <v>247</v>
      </c>
      <c r="B970" s="2" t="s">
        <v>244</v>
      </c>
      <c r="C970" s="3" t="n">
        <v>46205</v>
      </c>
      <c r="D970" s="2" t="str">
        <f aca="false">TEXT(C970,"YYYY-MM")</f>
        <v>2026-07</v>
      </c>
      <c r="E970" s="2" t="s">
        <v>435</v>
      </c>
      <c r="F970" s="4" t="s">
        <v>22</v>
      </c>
      <c r="G970" s="5" t="n">
        <v>796</v>
      </c>
      <c r="H970" s="4" t="s">
        <v>211</v>
      </c>
    </row>
    <row r="971" customFormat="false" ht="15" hidden="false" customHeight="false" outlineLevel="0" collapsed="false">
      <c r="A971" s="2" t="s">
        <v>247</v>
      </c>
      <c r="B971" s="2" t="s">
        <v>244</v>
      </c>
      <c r="C971" s="3" t="n">
        <v>46205</v>
      </c>
      <c r="D971" s="2" t="str">
        <f aca="false">TEXT(C971,"YYYY-MM")</f>
        <v>2026-07</v>
      </c>
      <c r="E971" s="2" t="s">
        <v>436</v>
      </c>
      <c r="F971" s="4" t="s">
        <v>13</v>
      </c>
      <c r="G971" s="5" t="n">
        <v>108</v>
      </c>
      <c r="H971" s="4" t="s">
        <v>211</v>
      </c>
    </row>
    <row r="972" customFormat="false" ht="15" hidden="false" customHeight="false" outlineLevel="0" collapsed="false">
      <c r="A972" s="2" t="s">
        <v>247</v>
      </c>
      <c r="B972" s="2" t="s">
        <v>244</v>
      </c>
      <c r="C972" s="3" t="n">
        <v>46205</v>
      </c>
      <c r="D972" s="2" t="str">
        <f aca="false">TEXT(C972,"YYYY-MM")</f>
        <v>2026-07</v>
      </c>
      <c r="E972" s="2" t="s">
        <v>437</v>
      </c>
      <c r="F972" s="4" t="s">
        <v>22</v>
      </c>
      <c r="G972" s="5" t="n">
        <v>5613</v>
      </c>
      <c r="H972" s="4" t="s">
        <v>211</v>
      </c>
    </row>
    <row r="973" customFormat="false" ht="15" hidden="false" customHeight="false" outlineLevel="0" collapsed="false">
      <c r="A973" s="2" t="s">
        <v>247</v>
      </c>
      <c r="B973" s="2" t="s">
        <v>244</v>
      </c>
      <c r="C973" s="3" t="n">
        <v>46205</v>
      </c>
      <c r="D973" s="2" t="str">
        <f aca="false">TEXT(C973,"YYYY-MM")</f>
        <v>2026-07</v>
      </c>
      <c r="E973" s="2" t="s">
        <v>438</v>
      </c>
      <c r="F973" s="4" t="s">
        <v>13</v>
      </c>
      <c r="G973" s="5" t="n">
        <v>10032</v>
      </c>
      <c r="H973" s="4" t="s">
        <v>434</v>
      </c>
    </row>
    <row r="974" customFormat="false" ht="15" hidden="false" customHeight="false" outlineLevel="0" collapsed="false">
      <c r="A974" s="2" t="s">
        <v>247</v>
      </c>
      <c r="B974" s="2" t="s">
        <v>244</v>
      </c>
      <c r="C974" s="3" t="n">
        <v>46216</v>
      </c>
      <c r="D974" s="2" t="str">
        <f aca="false">TEXT(C974,"YYYY-MM")</f>
        <v>2026-07</v>
      </c>
      <c r="E974" s="2" t="s">
        <v>385</v>
      </c>
      <c r="F974" s="4" t="s">
        <v>35</v>
      </c>
      <c r="G974" s="5" t="n">
        <v>37055</v>
      </c>
      <c r="H974" s="2" t="s">
        <v>432</v>
      </c>
    </row>
    <row r="975" customFormat="false" ht="15" hidden="false" customHeight="false" outlineLevel="0" collapsed="false">
      <c r="A975" s="2" t="s">
        <v>247</v>
      </c>
      <c r="B975" s="2" t="s">
        <v>170</v>
      </c>
      <c r="C975" s="3" t="n">
        <v>46142</v>
      </c>
      <c r="D975" s="2" t="str">
        <f aca="false">TEXT(C975,"YYYY-MM")</f>
        <v>2026-04</v>
      </c>
      <c r="E975" s="2" t="s">
        <v>439</v>
      </c>
      <c r="F975" s="4" t="s">
        <v>440</v>
      </c>
      <c r="G975" s="5" t="n">
        <v>1350511</v>
      </c>
      <c r="H975" s="2" t="s">
        <v>441</v>
      </c>
    </row>
  </sheetData>
  <autoFilter ref="A1:H9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1"/>
  </cols>
  <sheetData>
    <row r="1" customFormat="false" ht="19.4" hidden="false" customHeight="false" outlineLevel="0" collapsed="false">
      <c r="A1" s="6" t="s">
        <v>442</v>
      </c>
    </row>
    <row r="2" customFormat="false" ht="15" hidden="false" customHeight="false" outlineLevel="0" collapsed="false">
      <c r="A2" s="7" t="s">
        <v>443</v>
      </c>
    </row>
    <row r="4" customFormat="false" ht="15" hidden="false" customHeight="false" outlineLevel="0" collapsed="false">
      <c r="A4" s="8" t="s">
        <v>5</v>
      </c>
      <c r="B4" s="9" t="s">
        <v>444</v>
      </c>
      <c r="C4" s="9" t="s">
        <v>445</v>
      </c>
      <c r="D4" s="9" t="s">
        <v>9</v>
      </c>
      <c r="E4" s="9" t="s">
        <v>92</v>
      </c>
      <c r="F4" s="9" t="s">
        <v>124</v>
      </c>
      <c r="G4" s="9" t="s">
        <v>140</v>
      </c>
      <c r="H4" s="9" t="s">
        <v>161</v>
      </c>
      <c r="I4" s="9" t="s">
        <v>170</v>
      </c>
      <c r="J4" s="9" t="s">
        <v>185</v>
      </c>
      <c r="K4" s="9" t="s">
        <v>220</v>
      </c>
      <c r="L4" s="9" t="s">
        <v>244</v>
      </c>
      <c r="M4" s="8" t="s">
        <v>446</v>
      </c>
      <c r="N4" s="8" t="s">
        <v>447</v>
      </c>
    </row>
    <row r="5" customFormat="false" ht="15" hidden="false" customHeight="false" outlineLevel="0" collapsed="false">
      <c r="A5" s="4" t="s">
        <v>62</v>
      </c>
      <c r="B5" s="5" t="n">
        <f aca="false">SUMIFS(全明細!$G$2:$G$975,全明細!$F$2:$F$975,$A5,全明細!$D$2:$D$975,B$4)</f>
        <v>0</v>
      </c>
      <c r="C5" s="5" t="n">
        <f aca="false">SUMIFS(全明細!$G$2:$G$975,全明細!$F$2:$F$975,$A5,全明細!$D$2:$D$975,C$4)</f>
        <v>1353341</v>
      </c>
      <c r="D5" s="5" t="n">
        <f aca="false">SUMIFS(全明細!$G$2:$G$975,全明細!$F$2:$F$975,$A5,全明細!$D$2:$D$975,D$4)</f>
        <v>492200</v>
      </c>
      <c r="E5" s="5" t="n">
        <f aca="false">SUMIFS(全明細!$G$2:$G$975,全明細!$F$2:$F$975,$A5,全明細!$D$2:$D$975,E$4)</f>
        <v>943741</v>
      </c>
      <c r="F5" s="5" t="n">
        <f aca="false">SUMIFS(全明細!$G$2:$G$975,全明細!$F$2:$F$975,$A5,全明細!$D$2:$D$975,F$4)</f>
        <v>878054</v>
      </c>
      <c r="G5" s="5" t="n">
        <f aca="false">SUMIFS(全明細!$G$2:$G$975,全明細!$F$2:$F$975,$A5,全明細!$D$2:$D$975,G$4)</f>
        <v>9010409</v>
      </c>
      <c r="H5" s="5" t="n">
        <f aca="false">SUMIFS(全明細!$G$2:$G$975,全明細!$F$2:$F$975,$A5,全明細!$D$2:$D$975,H$4)</f>
        <v>0</v>
      </c>
      <c r="I5" s="5" t="n">
        <f aca="false">SUMIFS(全明細!$G$2:$G$975,全明細!$F$2:$F$975,$A5,全明細!$D$2:$D$975,I$4)</f>
        <v>3473800</v>
      </c>
      <c r="J5" s="5" t="n">
        <f aca="false">SUMIFS(全明細!$G$2:$G$975,全明細!$F$2:$F$975,$A5,全明細!$D$2:$D$975,J$4)</f>
        <v>902641</v>
      </c>
      <c r="K5" s="5" t="n">
        <f aca="false">SUMIFS(全明細!$G$2:$G$975,全明細!$F$2:$F$975,$A5,全明細!$D$2:$D$975,K$4)</f>
        <v>0</v>
      </c>
      <c r="L5" s="5" t="n">
        <f aca="false">SUMIFS(全明細!$G$2:$G$975,全明細!$F$2:$F$975,$A5,全明細!$D$2:$D$975,L$4)</f>
        <v>0</v>
      </c>
      <c r="M5" s="10" t="n">
        <f aca="false">SUM(B5:L5)</f>
        <v>17054186</v>
      </c>
      <c r="N5" s="11" t="n">
        <f aca="false">IF(M$22=0,0,M5/M$22)</f>
        <v>0.570507620127693</v>
      </c>
    </row>
    <row r="6" customFormat="false" ht="15" hidden="false" customHeight="false" outlineLevel="0" collapsed="false">
      <c r="A6" s="4" t="s">
        <v>58</v>
      </c>
      <c r="B6" s="5" t="n">
        <f aca="false">SUMIFS(全明細!$G$2:$G$975,全明細!$F$2:$F$975,$A6,全明細!$D$2:$D$975,B$4)</f>
        <v>0</v>
      </c>
      <c r="C6" s="5" t="n">
        <f aca="false">SUMIFS(全明細!$G$2:$G$975,全明細!$F$2:$F$975,$A6,全明細!$D$2:$D$975,C$4)</f>
        <v>214793</v>
      </c>
      <c r="D6" s="5" t="n">
        <f aca="false">SUMIFS(全明細!$G$2:$G$975,全明細!$F$2:$F$975,$A6,全明細!$D$2:$D$975,D$4)</f>
        <v>277880</v>
      </c>
      <c r="E6" s="5" t="n">
        <f aca="false">SUMIFS(全明細!$G$2:$G$975,全明細!$F$2:$F$975,$A6,全明細!$D$2:$D$975,E$4)</f>
        <v>278146</v>
      </c>
      <c r="F6" s="5" t="n">
        <f aca="false">SUMIFS(全明細!$G$2:$G$975,全明細!$F$2:$F$975,$A6,全明細!$D$2:$D$975,F$4)</f>
        <v>205458</v>
      </c>
      <c r="G6" s="5" t="n">
        <f aca="false">SUMIFS(全明細!$G$2:$G$975,全明細!$F$2:$F$975,$A6,全明細!$D$2:$D$975,G$4)</f>
        <v>163995</v>
      </c>
      <c r="H6" s="5" t="n">
        <f aca="false">SUMIFS(全明細!$G$2:$G$975,全明細!$F$2:$F$975,$A6,全明細!$D$2:$D$975,H$4)</f>
        <v>131727</v>
      </c>
      <c r="I6" s="5" t="n">
        <f aca="false">SUMIFS(全明細!$G$2:$G$975,全明細!$F$2:$F$975,$A6,全明細!$D$2:$D$975,I$4)</f>
        <v>302309</v>
      </c>
      <c r="J6" s="5" t="n">
        <f aca="false">SUMIFS(全明細!$G$2:$G$975,全明細!$F$2:$F$975,$A6,全明細!$D$2:$D$975,J$4)</f>
        <v>315123</v>
      </c>
      <c r="K6" s="5" t="n">
        <f aca="false">SUMIFS(全明細!$G$2:$G$975,全明細!$F$2:$F$975,$A6,全明細!$D$2:$D$975,K$4)</f>
        <v>275240</v>
      </c>
      <c r="L6" s="5" t="n">
        <f aca="false">SUMIFS(全明細!$G$2:$G$975,全明細!$F$2:$F$975,$A6,全明細!$D$2:$D$975,L$4)</f>
        <v>30000</v>
      </c>
      <c r="M6" s="10" t="n">
        <f aca="false">SUM(B6:L6)</f>
        <v>2194671</v>
      </c>
      <c r="N6" s="11" t="n">
        <f aca="false">IF(M$22=0,0,M6/M$22)</f>
        <v>0.0734175485815192</v>
      </c>
    </row>
    <row r="7" customFormat="false" ht="15" hidden="false" customHeight="false" outlineLevel="0" collapsed="false">
      <c r="A7" s="4" t="s">
        <v>37</v>
      </c>
      <c r="B7" s="5" t="n">
        <f aca="false">SUMIFS(全明細!$G$2:$G$975,全明細!$F$2:$F$975,$A7,全明細!$D$2:$D$975,B$4)</f>
        <v>0</v>
      </c>
      <c r="C7" s="5" t="n">
        <f aca="false">SUMIFS(全明細!$G$2:$G$975,全明細!$F$2:$F$975,$A7,全明細!$D$2:$D$975,C$4)</f>
        <v>93333</v>
      </c>
      <c r="D7" s="5" t="n">
        <f aca="false">SUMIFS(全明細!$G$2:$G$975,全明細!$F$2:$F$975,$A7,全明細!$D$2:$D$975,D$4)</f>
        <v>215342</v>
      </c>
      <c r="E7" s="5" t="n">
        <f aca="false">SUMIFS(全明細!$G$2:$G$975,全明細!$F$2:$F$975,$A7,全明細!$D$2:$D$975,E$4)</f>
        <v>1366700</v>
      </c>
      <c r="F7" s="5" t="n">
        <f aca="false">SUMIFS(全明細!$G$2:$G$975,全明細!$F$2:$F$975,$A7,全明細!$D$2:$D$975,F$4)</f>
        <v>932351</v>
      </c>
      <c r="G7" s="5" t="n">
        <f aca="false">SUMIFS(全明細!$G$2:$G$975,全明細!$F$2:$F$975,$A7,全明細!$D$2:$D$975,G$4)</f>
        <v>761052</v>
      </c>
      <c r="H7" s="5" t="n">
        <f aca="false">SUMIFS(全明細!$G$2:$G$975,全明細!$F$2:$F$975,$A7,全明細!$D$2:$D$975,H$4)</f>
        <v>249824</v>
      </c>
      <c r="I7" s="5" t="n">
        <f aca="false">SUMIFS(全明細!$G$2:$G$975,全明細!$F$2:$F$975,$A7,全明細!$D$2:$D$975,I$4)</f>
        <v>131502</v>
      </c>
      <c r="J7" s="5" t="n">
        <f aca="false">SUMIFS(全明細!$G$2:$G$975,全明細!$F$2:$F$975,$A7,全明細!$D$2:$D$975,J$4)</f>
        <v>407649</v>
      </c>
      <c r="K7" s="5" t="n">
        <f aca="false">SUMIFS(全明細!$G$2:$G$975,全明細!$F$2:$F$975,$A7,全明細!$D$2:$D$975,K$4)</f>
        <v>0</v>
      </c>
      <c r="L7" s="5" t="n">
        <f aca="false">SUMIFS(全明細!$G$2:$G$975,全明細!$F$2:$F$975,$A7,全明細!$D$2:$D$975,L$4)</f>
        <v>0</v>
      </c>
      <c r="M7" s="10" t="n">
        <f aca="false">SUM(B7:L7)</f>
        <v>4157753</v>
      </c>
      <c r="N7" s="11" t="n">
        <f aca="false">IF(M$22=0,0,M7/M$22)</f>
        <v>0.139087832694494</v>
      </c>
    </row>
    <row r="8" customFormat="false" ht="15" hidden="false" customHeight="false" outlineLevel="0" collapsed="false">
      <c r="A8" s="4" t="s">
        <v>13</v>
      </c>
      <c r="B8" s="5" t="n">
        <f aca="false">SUMIFS(全明細!$G$2:$G$975,全明細!$F$2:$F$975,$A8,全明細!$D$2:$D$975,B$4)</f>
        <v>4700</v>
      </c>
      <c r="C8" s="5" t="n">
        <f aca="false">SUMIFS(全明細!$G$2:$G$975,全明細!$F$2:$F$975,$A8,全明細!$D$2:$D$975,C$4)</f>
        <v>148720</v>
      </c>
      <c r="D8" s="5" t="n">
        <f aca="false">SUMIFS(全明細!$G$2:$G$975,全明細!$F$2:$F$975,$A8,全明細!$D$2:$D$975,D$4)</f>
        <v>77440</v>
      </c>
      <c r="E8" s="5" t="n">
        <f aca="false">SUMIFS(全明細!$G$2:$G$975,全明細!$F$2:$F$975,$A8,全明細!$D$2:$D$975,E$4)</f>
        <v>31690</v>
      </c>
      <c r="F8" s="5" t="n">
        <f aca="false">SUMIFS(全明細!$G$2:$G$975,全明細!$F$2:$F$975,$A8,全明細!$D$2:$D$975,F$4)</f>
        <v>66560</v>
      </c>
      <c r="G8" s="5" t="n">
        <f aca="false">SUMIFS(全明細!$G$2:$G$975,全明細!$F$2:$F$975,$A8,全明細!$D$2:$D$975,G$4)</f>
        <v>114705</v>
      </c>
      <c r="H8" s="5" t="n">
        <f aca="false">SUMIFS(全明細!$G$2:$G$975,全明細!$F$2:$F$975,$A8,全明細!$D$2:$D$975,H$4)</f>
        <v>129064</v>
      </c>
      <c r="I8" s="5" t="n">
        <f aca="false">SUMIFS(全明細!$G$2:$G$975,全明細!$F$2:$F$975,$A8,全明細!$D$2:$D$975,I$4)</f>
        <v>300004</v>
      </c>
      <c r="J8" s="5" t="n">
        <f aca="false">SUMIFS(全明細!$G$2:$G$975,全明細!$F$2:$F$975,$A8,全明細!$D$2:$D$975,J$4)</f>
        <v>468600</v>
      </c>
      <c r="K8" s="5" t="n">
        <f aca="false">SUMIFS(全明細!$G$2:$G$975,全明細!$F$2:$F$975,$A8,全明細!$D$2:$D$975,K$4)</f>
        <v>57281</v>
      </c>
      <c r="L8" s="5" t="n">
        <f aca="false">SUMIFS(全明細!$G$2:$G$975,全明細!$F$2:$F$975,$A8,全明細!$D$2:$D$975,L$4)</f>
        <v>0</v>
      </c>
      <c r="M8" s="10" t="n">
        <f aca="false">SUM(B8:L8)</f>
        <v>1398764</v>
      </c>
      <c r="N8" s="11" t="n">
        <f aca="false">IF(M$22=0,0,M8/M$22)</f>
        <v>0.0467923547192632</v>
      </c>
    </row>
    <row r="9" customFormat="false" ht="15" hidden="false" customHeight="false" outlineLevel="0" collapsed="false">
      <c r="A9" s="4" t="s">
        <v>17</v>
      </c>
      <c r="B9" s="5" t="n">
        <f aca="false">SUMIFS(全明細!$G$2:$G$975,全明細!$F$2:$F$975,$A9,全明細!$D$2:$D$975,B$4)</f>
        <v>0</v>
      </c>
      <c r="C9" s="5" t="n">
        <f aca="false">SUMIFS(全明細!$G$2:$G$975,全明細!$F$2:$F$975,$A9,全明細!$D$2:$D$975,C$4)</f>
        <v>13035</v>
      </c>
      <c r="D9" s="5" t="n">
        <f aca="false">SUMIFS(全明細!$G$2:$G$975,全明細!$F$2:$F$975,$A9,全明細!$D$2:$D$975,D$4)</f>
        <v>10189</v>
      </c>
      <c r="E9" s="5" t="n">
        <f aca="false">SUMIFS(全明細!$G$2:$G$975,全明細!$F$2:$F$975,$A9,全明細!$D$2:$D$975,E$4)</f>
        <v>32055</v>
      </c>
      <c r="F9" s="5" t="n">
        <f aca="false">SUMIFS(全明細!$G$2:$G$975,全明細!$F$2:$F$975,$A9,全明細!$D$2:$D$975,F$4)</f>
        <v>15093</v>
      </c>
      <c r="G9" s="5" t="n">
        <f aca="false">SUMIFS(全明細!$G$2:$G$975,全明細!$F$2:$F$975,$A9,全明細!$D$2:$D$975,G$4)</f>
        <v>329194</v>
      </c>
      <c r="H9" s="5" t="n">
        <f aca="false">SUMIFS(全明細!$G$2:$G$975,全明細!$F$2:$F$975,$A9,全明細!$D$2:$D$975,H$4)</f>
        <v>9920</v>
      </c>
      <c r="I9" s="5" t="n">
        <f aca="false">SUMIFS(全明細!$G$2:$G$975,全明細!$F$2:$F$975,$A9,全明細!$D$2:$D$975,I$4)</f>
        <v>27850</v>
      </c>
      <c r="J9" s="5" t="n">
        <f aca="false">SUMIFS(全明細!$G$2:$G$975,全明細!$F$2:$F$975,$A9,全明細!$D$2:$D$975,J$4)</f>
        <v>294560</v>
      </c>
      <c r="K9" s="5" t="n">
        <f aca="false">SUMIFS(全明細!$G$2:$G$975,全明細!$F$2:$F$975,$A9,全明細!$D$2:$D$975,K$4)</f>
        <v>3540</v>
      </c>
      <c r="L9" s="5" t="n">
        <f aca="false">SUMIFS(全明細!$G$2:$G$975,全明細!$F$2:$F$975,$A9,全明細!$D$2:$D$975,L$4)</f>
        <v>0</v>
      </c>
      <c r="M9" s="10" t="n">
        <f aca="false">SUM(B9:L9)</f>
        <v>735436</v>
      </c>
      <c r="N9" s="11" t="n">
        <f aca="false">IF(M$22=0,0,M9/M$22)</f>
        <v>0.0246022790015443</v>
      </c>
    </row>
    <row r="10" customFormat="false" ht="15" hidden="false" customHeight="false" outlineLevel="0" collapsed="false">
      <c r="A10" s="4" t="s">
        <v>22</v>
      </c>
      <c r="B10" s="5" t="n">
        <f aca="false">SUMIFS(全明細!$G$2:$G$975,全明細!$F$2:$F$975,$A10,全明細!$D$2:$D$975,B$4)</f>
        <v>0</v>
      </c>
      <c r="C10" s="5" t="n">
        <f aca="false">SUMIFS(全明細!$G$2:$G$975,全明細!$F$2:$F$975,$A10,全明細!$D$2:$D$975,C$4)</f>
        <v>65922</v>
      </c>
      <c r="D10" s="5" t="n">
        <f aca="false">SUMIFS(全明細!$G$2:$G$975,全明細!$F$2:$F$975,$A10,全明細!$D$2:$D$975,D$4)</f>
        <v>82644</v>
      </c>
      <c r="E10" s="5" t="n">
        <f aca="false">SUMIFS(全明細!$G$2:$G$975,全明細!$F$2:$F$975,$A10,全明細!$D$2:$D$975,E$4)</f>
        <v>59879</v>
      </c>
      <c r="F10" s="5" t="n">
        <f aca="false">SUMIFS(全明細!$G$2:$G$975,全明細!$F$2:$F$975,$A10,全明細!$D$2:$D$975,F$4)</f>
        <v>79273</v>
      </c>
      <c r="G10" s="5" t="n">
        <f aca="false">SUMIFS(全明細!$G$2:$G$975,全明細!$F$2:$F$975,$A10,全明細!$D$2:$D$975,G$4)</f>
        <v>114759</v>
      </c>
      <c r="H10" s="5" t="n">
        <f aca="false">SUMIFS(全明細!$G$2:$G$975,全明細!$F$2:$F$975,$A10,全明細!$D$2:$D$975,H$4)</f>
        <v>93846</v>
      </c>
      <c r="I10" s="5" t="n">
        <f aca="false">SUMIFS(全明細!$G$2:$G$975,全明細!$F$2:$F$975,$A10,全明細!$D$2:$D$975,I$4)</f>
        <v>238677</v>
      </c>
      <c r="J10" s="5" t="n">
        <f aca="false">SUMIFS(全明細!$G$2:$G$975,全明細!$F$2:$F$975,$A10,全明細!$D$2:$D$975,J$4)</f>
        <v>49888</v>
      </c>
      <c r="K10" s="5" t="n">
        <f aca="false">SUMIFS(全明細!$G$2:$G$975,全明細!$F$2:$F$975,$A10,全明細!$D$2:$D$975,K$4)</f>
        <v>9689</v>
      </c>
      <c r="L10" s="5" t="n">
        <f aca="false">SUMIFS(全明細!$G$2:$G$975,全明細!$F$2:$F$975,$A10,全明細!$D$2:$D$975,L$4)</f>
        <v>0</v>
      </c>
      <c r="M10" s="10" t="n">
        <f aca="false">SUM(B10:L10)</f>
        <v>794577</v>
      </c>
      <c r="N10" s="11" t="n">
        <f aca="false">IF(M$22=0,0,M10/M$22)</f>
        <v>0.0265807018451776</v>
      </c>
    </row>
    <row r="11" customFormat="false" ht="15" hidden="false" customHeight="false" outlineLevel="0" collapsed="false">
      <c r="A11" s="4" t="s">
        <v>35</v>
      </c>
      <c r="B11" s="5" t="n">
        <f aca="false">SUMIFS(全明細!$G$2:$G$975,全明細!$F$2:$F$975,$A11,全明細!$D$2:$D$975,B$4)</f>
        <v>0</v>
      </c>
      <c r="C11" s="5" t="n">
        <f aca="false">SUMIFS(全明細!$G$2:$G$975,全明細!$F$2:$F$975,$A11,全明細!$D$2:$D$975,C$4)</f>
        <v>33900</v>
      </c>
      <c r="D11" s="5" t="n">
        <f aca="false">SUMIFS(全明細!$G$2:$G$975,全明細!$F$2:$F$975,$A11,全明細!$D$2:$D$975,D$4)</f>
        <v>21028</v>
      </c>
      <c r="E11" s="5" t="n">
        <f aca="false">SUMIFS(全明細!$G$2:$G$975,全明細!$F$2:$F$975,$A11,全明細!$D$2:$D$975,E$4)</f>
        <v>20278</v>
      </c>
      <c r="F11" s="5" t="n">
        <f aca="false">SUMIFS(全明細!$G$2:$G$975,全明細!$F$2:$F$975,$A11,全明細!$D$2:$D$975,F$4)</f>
        <v>15780</v>
      </c>
      <c r="G11" s="5" t="n">
        <f aca="false">SUMIFS(全明細!$G$2:$G$975,全明細!$F$2:$F$975,$A11,全明細!$D$2:$D$975,G$4)</f>
        <v>121050</v>
      </c>
      <c r="H11" s="5" t="n">
        <f aca="false">SUMIFS(全明細!$G$2:$G$975,全明細!$F$2:$F$975,$A11,全明細!$D$2:$D$975,H$4)</f>
        <v>26613</v>
      </c>
      <c r="I11" s="5" t="n">
        <f aca="false">SUMIFS(全明細!$G$2:$G$975,全明細!$F$2:$F$975,$A11,全明細!$D$2:$D$975,I$4)</f>
        <v>60181</v>
      </c>
      <c r="J11" s="5" t="n">
        <f aca="false">SUMIFS(全明細!$G$2:$G$975,全明細!$F$2:$F$975,$A11,全明細!$D$2:$D$975,J$4)</f>
        <v>58125</v>
      </c>
      <c r="K11" s="5" t="n">
        <f aca="false">SUMIFS(全明細!$G$2:$G$975,全明細!$F$2:$F$975,$A11,全明細!$D$2:$D$975,K$4)</f>
        <v>53999</v>
      </c>
      <c r="L11" s="5" t="n">
        <f aca="false">SUMIFS(全明細!$G$2:$G$975,全明細!$F$2:$F$975,$A11,全明細!$D$2:$D$975,L$4)</f>
        <v>1580</v>
      </c>
      <c r="M11" s="10" t="n">
        <f aca="false">SUM(B11:L11)</f>
        <v>412534</v>
      </c>
      <c r="N11" s="11" t="n">
        <f aca="false">IF(M$22=0,0,M11/M$22)</f>
        <v>0.0138003532130914</v>
      </c>
    </row>
    <row r="12" customFormat="false" ht="15" hidden="false" customHeight="false" outlineLevel="0" collapsed="false">
      <c r="A12" s="4" t="s">
        <v>87</v>
      </c>
      <c r="B12" s="5" t="n">
        <f aca="false">SUMIFS(全明細!$G$2:$G$975,全明細!$F$2:$F$975,$A12,全明細!$D$2:$D$975,B$4)</f>
        <v>0</v>
      </c>
      <c r="C12" s="5" t="n">
        <f aca="false">SUMIFS(全明細!$G$2:$G$975,全明細!$F$2:$F$975,$A12,全明細!$D$2:$D$975,C$4)</f>
        <v>32780</v>
      </c>
      <c r="D12" s="5" t="n">
        <f aca="false">SUMIFS(全明細!$G$2:$G$975,全明細!$F$2:$F$975,$A12,全明細!$D$2:$D$975,D$4)</f>
        <v>32780</v>
      </c>
      <c r="E12" s="5" t="n">
        <f aca="false">SUMIFS(全明細!$G$2:$G$975,全明細!$F$2:$F$975,$A12,全明細!$D$2:$D$975,E$4)</f>
        <v>130680</v>
      </c>
      <c r="F12" s="5" t="n">
        <f aca="false">SUMIFS(全明細!$G$2:$G$975,全明細!$F$2:$F$975,$A12,全明細!$D$2:$D$975,F$4)</f>
        <v>49280</v>
      </c>
      <c r="G12" s="5" t="n">
        <f aca="false">SUMIFS(全明細!$G$2:$G$975,全明細!$F$2:$F$975,$A12,全明細!$D$2:$D$975,G$4)</f>
        <v>49280</v>
      </c>
      <c r="H12" s="5" t="n">
        <f aca="false">SUMIFS(全明細!$G$2:$G$975,全明細!$F$2:$F$975,$A12,全明細!$D$2:$D$975,H$4)</f>
        <v>32780</v>
      </c>
      <c r="I12" s="5" t="n">
        <f aca="false">SUMIFS(全明細!$G$2:$G$975,全明細!$F$2:$F$975,$A12,全明細!$D$2:$D$975,I$4)</f>
        <v>49280</v>
      </c>
      <c r="J12" s="5" t="n">
        <f aca="false">SUMIFS(全明細!$G$2:$G$975,全明細!$F$2:$F$975,$A12,全明細!$D$2:$D$975,J$4)</f>
        <v>52580</v>
      </c>
      <c r="K12" s="5" t="n">
        <f aca="false">SUMIFS(全明細!$G$2:$G$975,全明細!$F$2:$F$975,$A12,全明細!$D$2:$D$975,K$4)</f>
        <v>3300</v>
      </c>
      <c r="L12" s="5" t="n">
        <f aca="false">SUMIFS(全明細!$G$2:$G$975,全明細!$F$2:$F$975,$A12,全明細!$D$2:$D$975,L$4)</f>
        <v>0</v>
      </c>
      <c r="M12" s="10" t="n">
        <f aca="false">SUM(B12:L12)</f>
        <v>432740</v>
      </c>
      <c r="N12" s="11" t="n">
        <f aca="false">IF(M$22=0,0,M12/M$22)</f>
        <v>0.0144762973462385</v>
      </c>
    </row>
    <row r="13" customFormat="false" ht="15" hidden="false" customHeight="false" outlineLevel="0" collapsed="false">
      <c r="A13" s="4" t="s">
        <v>15</v>
      </c>
      <c r="B13" s="5" t="n">
        <f aca="false">SUMIFS(全明細!$G$2:$G$975,全明細!$F$2:$F$975,$A13,全明細!$D$2:$D$975,B$4)</f>
        <v>12169</v>
      </c>
      <c r="C13" s="5" t="n">
        <f aca="false">SUMIFS(全明細!$G$2:$G$975,全明細!$F$2:$F$975,$A13,全明細!$D$2:$D$975,C$4)</f>
        <v>20874</v>
      </c>
      <c r="D13" s="5" t="n">
        <f aca="false">SUMIFS(全明細!$G$2:$G$975,全明細!$F$2:$F$975,$A13,全明細!$D$2:$D$975,D$4)</f>
        <v>20792</v>
      </c>
      <c r="E13" s="5" t="n">
        <f aca="false">SUMIFS(全明細!$G$2:$G$975,全明細!$F$2:$F$975,$A13,全明細!$D$2:$D$975,E$4)</f>
        <v>28335</v>
      </c>
      <c r="F13" s="5" t="n">
        <f aca="false">SUMIFS(全明細!$G$2:$G$975,全明細!$F$2:$F$975,$A13,全明細!$D$2:$D$975,F$4)</f>
        <v>21501</v>
      </c>
      <c r="G13" s="5" t="n">
        <f aca="false">SUMIFS(全明細!$G$2:$G$975,全明細!$F$2:$F$975,$A13,全明細!$D$2:$D$975,G$4)</f>
        <v>17559</v>
      </c>
      <c r="H13" s="5" t="n">
        <f aca="false">SUMIFS(全明細!$G$2:$G$975,全明細!$F$2:$F$975,$A13,全明細!$D$2:$D$975,H$4)</f>
        <v>13443</v>
      </c>
      <c r="I13" s="5" t="n">
        <f aca="false">SUMIFS(全明細!$G$2:$G$975,全明細!$F$2:$F$975,$A13,全明細!$D$2:$D$975,I$4)</f>
        <v>20798</v>
      </c>
      <c r="J13" s="5" t="n">
        <f aca="false">SUMIFS(全明細!$G$2:$G$975,全明細!$F$2:$F$975,$A13,全明細!$D$2:$D$975,J$4)</f>
        <v>15782</v>
      </c>
      <c r="K13" s="5" t="n">
        <f aca="false">SUMIFS(全明細!$G$2:$G$975,全明細!$F$2:$F$975,$A13,全明細!$D$2:$D$975,K$4)</f>
        <v>0</v>
      </c>
      <c r="L13" s="5" t="n">
        <f aca="false">SUMIFS(全明細!$G$2:$G$975,全明細!$F$2:$F$975,$A13,全明細!$D$2:$D$975,L$4)</f>
        <v>0</v>
      </c>
      <c r="M13" s="10" t="n">
        <f aca="false">SUM(B13:L13)</f>
        <v>171253</v>
      </c>
      <c r="N13" s="11" t="n">
        <f aca="false">IF(M$22=0,0,M13/M$22)</f>
        <v>0.00572886571482965</v>
      </c>
    </row>
    <row r="14" customFormat="false" ht="15" hidden="false" customHeight="false" outlineLevel="0" collapsed="false">
      <c r="A14" s="4" t="s">
        <v>11</v>
      </c>
      <c r="B14" s="5" t="n">
        <f aca="false">SUMIFS(全明細!$G$2:$G$975,全明細!$F$2:$F$975,$A14,全明細!$D$2:$D$975,B$4)</f>
        <v>2408</v>
      </c>
      <c r="C14" s="5" t="n">
        <f aca="false">SUMIFS(全明細!$G$2:$G$975,全明細!$F$2:$F$975,$A14,全明細!$D$2:$D$975,C$4)</f>
        <v>6609</v>
      </c>
      <c r="D14" s="5" t="n">
        <f aca="false">SUMIFS(全明細!$G$2:$G$975,全明細!$F$2:$F$975,$A14,全明細!$D$2:$D$975,D$4)</f>
        <v>2685</v>
      </c>
      <c r="E14" s="5" t="n">
        <f aca="false">SUMIFS(全明細!$G$2:$G$975,全明細!$F$2:$F$975,$A14,全明細!$D$2:$D$975,E$4)</f>
        <v>2838</v>
      </c>
      <c r="F14" s="5" t="n">
        <f aca="false">SUMIFS(全明細!$G$2:$G$975,全明細!$F$2:$F$975,$A14,全明細!$D$2:$D$975,F$4)</f>
        <v>6182</v>
      </c>
      <c r="G14" s="5" t="n">
        <f aca="false">SUMIFS(全明細!$G$2:$G$975,全明細!$F$2:$F$975,$A14,全明細!$D$2:$D$975,G$4)</f>
        <v>9792</v>
      </c>
      <c r="H14" s="5" t="n">
        <f aca="false">SUMIFS(全明細!$G$2:$G$975,全明細!$F$2:$F$975,$A14,全明細!$D$2:$D$975,H$4)</f>
        <v>9561</v>
      </c>
      <c r="I14" s="5" t="n">
        <f aca="false">SUMIFS(全明細!$G$2:$G$975,全明細!$F$2:$F$975,$A14,全明細!$D$2:$D$975,I$4)</f>
        <v>15973</v>
      </c>
      <c r="J14" s="5" t="n">
        <f aca="false">SUMIFS(全明細!$G$2:$G$975,全明細!$F$2:$F$975,$A14,全明細!$D$2:$D$975,J$4)</f>
        <v>13063</v>
      </c>
      <c r="K14" s="5" t="n">
        <f aca="false">SUMIFS(全明細!$G$2:$G$975,全明細!$F$2:$F$975,$A14,全明細!$D$2:$D$975,K$4)</f>
        <v>12574</v>
      </c>
      <c r="L14" s="5" t="n">
        <f aca="false">SUMIFS(全明細!$G$2:$G$975,全明細!$F$2:$F$975,$A14,全明細!$D$2:$D$975,L$4)</f>
        <v>0</v>
      </c>
      <c r="M14" s="10" t="n">
        <f aca="false">SUM(B14:L14)</f>
        <v>81685</v>
      </c>
      <c r="N14" s="11" t="n">
        <f aca="false">IF(M$22=0,0,M14/M$22)</f>
        <v>0.00273257925943406</v>
      </c>
    </row>
    <row r="15" customFormat="false" ht="15" hidden="false" customHeight="false" outlineLevel="0" collapsed="false">
      <c r="A15" s="4" t="s">
        <v>173</v>
      </c>
      <c r="B15" s="5" t="n">
        <f aca="false">SUMIFS(全明細!$G$2:$G$975,全明細!$F$2:$F$975,$A15,全明細!$D$2:$D$975,B$4)</f>
        <v>0</v>
      </c>
      <c r="C15" s="5" t="n">
        <f aca="false">SUMIFS(全明細!$G$2:$G$975,全明細!$F$2:$F$975,$A15,全明細!$D$2:$D$975,C$4)</f>
        <v>0</v>
      </c>
      <c r="D15" s="5" t="n">
        <f aca="false">SUMIFS(全明細!$G$2:$G$975,全明細!$F$2:$F$975,$A15,全明細!$D$2:$D$975,D$4)</f>
        <v>0</v>
      </c>
      <c r="E15" s="5" t="n">
        <f aca="false">SUMIFS(全明細!$G$2:$G$975,全明細!$F$2:$F$975,$A15,全明細!$D$2:$D$975,E$4)</f>
        <v>0</v>
      </c>
      <c r="F15" s="5" t="n">
        <f aca="false">SUMIFS(全明細!$G$2:$G$975,全明細!$F$2:$F$975,$A15,全明細!$D$2:$D$975,F$4)</f>
        <v>0</v>
      </c>
      <c r="G15" s="5" t="n">
        <f aca="false">SUMIFS(全明細!$G$2:$G$975,全明細!$F$2:$F$975,$A15,全明細!$D$2:$D$975,G$4)</f>
        <v>0</v>
      </c>
      <c r="H15" s="5" t="n">
        <f aca="false">SUMIFS(全明細!$G$2:$G$975,全明細!$F$2:$F$975,$A15,全明細!$D$2:$D$975,H$4)</f>
        <v>77000</v>
      </c>
      <c r="I15" s="5" t="n">
        <f aca="false">SUMIFS(全明細!$G$2:$G$975,全明細!$F$2:$F$975,$A15,全明細!$D$2:$D$975,I$4)</f>
        <v>33000</v>
      </c>
      <c r="J15" s="5" t="n">
        <f aca="false">SUMIFS(全明細!$G$2:$G$975,全明細!$F$2:$F$975,$A15,全明細!$D$2:$D$975,J$4)</f>
        <v>0</v>
      </c>
      <c r="K15" s="5" t="n">
        <f aca="false">SUMIFS(全明細!$G$2:$G$975,全明細!$F$2:$F$975,$A15,全明細!$D$2:$D$975,K$4)</f>
        <v>8000</v>
      </c>
      <c r="L15" s="5" t="n">
        <f aca="false">SUMIFS(全明細!$G$2:$G$975,全明細!$F$2:$F$975,$A15,全明細!$D$2:$D$975,L$4)</f>
        <v>0</v>
      </c>
      <c r="M15" s="10" t="n">
        <f aca="false">SUM(B15:L15)</f>
        <v>118000</v>
      </c>
      <c r="N15" s="11" t="n">
        <f aca="false">IF(M$22=0,0,M15/M$22)</f>
        <v>0.00394741204154029</v>
      </c>
    </row>
    <row r="16" customFormat="false" ht="15" hidden="false" customHeight="false" outlineLevel="0" collapsed="false">
      <c r="A16" s="4" t="s">
        <v>26</v>
      </c>
      <c r="B16" s="5" t="n">
        <f aca="false">SUMIFS(全明細!$G$2:$G$975,全明細!$F$2:$F$975,$A16,全明細!$D$2:$D$975,B$4)</f>
        <v>0</v>
      </c>
      <c r="C16" s="5" t="n">
        <f aca="false">SUMIFS(全明細!$G$2:$G$975,全明細!$F$2:$F$975,$A16,全明細!$D$2:$D$975,C$4)</f>
        <v>6760</v>
      </c>
      <c r="D16" s="5" t="n">
        <f aca="false">SUMIFS(全明細!$G$2:$G$975,全明細!$F$2:$F$975,$A16,全明細!$D$2:$D$975,D$4)</f>
        <v>0</v>
      </c>
      <c r="E16" s="5" t="n">
        <f aca="false">SUMIFS(全明細!$G$2:$G$975,全明細!$F$2:$F$975,$A16,全明細!$D$2:$D$975,E$4)</f>
        <v>7390</v>
      </c>
      <c r="F16" s="5" t="n">
        <f aca="false">SUMIFS(全明細!$G$2:$G$975,全明細!$F$2:$F$975,$A16,全明細!$D$2:$D$975,F$4)</f>
        <v>5140</v>
      </c>
      <c r="G16" s="5" t="n">
        <f aca="false">SUMIFS(全明細!$G$2:$G$975,全明細!$F$2:$F$975,$A16,全明細!$D$2:$D$975,G$4)</f>
        <v>4500</v>
      </c>
      <c r="H16" s="5" t="n">
        <f aca="false">SUMIFS(全明細!$G$2:$G$975,全明細!$F$2:$F$975,$A16,全明細!$D$2:$D$975,H$4)</f>
        <v>1500</v>
      </c>
      <c r="I16" s="5" t="n">
        <f aca="false">SUMIFS(全明細!$G$2:$G$975,全明細!$F$2:$F$975,$A16,全明細!$D$2:$D$975,I$4)</f>
        <v>0</v>
      </c>
      <c r="J16" s="5" t="n">
        <f aca="false">SUMIFS(全明細!$G$2:$G$975,全明細!$F$2:$F$975,$A16,全明細!$D$2:$D$975,J$4)</f>
        <v>0</v>
      </c>
      <c r="K16" s="5" t="n">
        <f aca="false">SUMIFS(全明細!$G$2:$G$975,全明細!$F$2:$F$975,$A16,全明細!$D$2:$D$975,K$4)</f>
        <v>0</v>
      </c>
      <c r="L16" s="5" t="n">
        <f aca="false">SUMIFS(全明細!$G$2:$G$975,全明細!$F$2:$F$975,$A16,全明細!$D$2:$D$975,L$4)</f>
        <v>0</v>
      </c>
      <c r="M16" s="10" t="n">
        <f aca="false">SUM(B16:L16)</f>
        <v>25290</v>
      </c>
      <c r="N16" s="11" t="n">
        <f aca="false">IF(M$22=0,0,M16/M$22)</f>
        <v>0.000846017377377576</v>
      </c>
    </row>
    <row r="17" customFormat="false" ht="15" hidden="false" customHeight="false" outlineLevel="0" collapsed="false">
      <c r="A17" s="4" t="s">
        <v>137</v>
      </c>
      <c r="B17" s="5" t="n">
        <f aca="false">SUMIFS(全明細!$G$2:$G$975,全明細!$F$2:$F$975,$A17,全明細!$D$2:$D$975,B$4)</f>
        <v>0</v>
      </c>
      <c r="C17" s="5" t="n">
        <f aca="false">SUMIFS(全明細!$G$2:$G$975,全明細!$F$2:$F$975,$A17,全明細!$D$2:$D$975,C$4)</f>
        <v>0</v>
      </c>
      <c r="D17" s="5" t="n">
        <f aca="false">SUMIFS(全明細!$G$2:$G$975,全明細!$F$2:$F$975,$A17,全明細!$D$2:$D$975,D$4)</f>
        <v>0</v>
      </c>
      <c r="E17" s="5" t="n">
        <f aca="false">SUMIFS(全明細!$G$2:$G$975,全明細!$F$2:$F$975,$A17,全明細!$D$2:$D$975,E$4)</f>
        <v>15400</v>
      </c>
      <c r="F17" s="5" t="n">
        <f aca="false">SUMIFS(全明細!$G$2:$G$975,全明細!$F$2:$F$975,$A17,全明細!$D$2:$D$975,F$4)</f>
        <v>69342</v>
      </c>
      <c r="G17" s="5" t="n">
        <f aca="false">SUMIFS(全明細!$G$2:$G$975,全明細!$F$2:$F$975,$A17,全明細!$D$2:$D$975,G$4)</f>
        <v>60014</v>
      </c>
      <c r="H17" s="5" t="n">
        <f aca="false">SUMIFS(全明細!$G$2:$G$975,全明細!$F$2:$F$975,$A17,全明細!$D$2:$D$975,H$4)</f>
        <v>10780</v>
      </c>
      <c r="I17" s="5" t="n">
        <f aca="false">SUMIFS(全明細!$G$2:$G$975,全明細!$F$2:$F$975,$A17,全明細!$D$2:$D$975,I$4)</f>
        <v>82984</v>
      </c>
      <c r="J17" s="5" t="n">
        <f aca="false">SUMIFS(全明細!$G$2:$G$975,全明細!$F$2:$F$975,$A17,全明細!$D$2:$D$975,J$4)</f>
        <v>48325</v>
      </c>
      <c r="K17" s="5" t="n">
        <f aca="false">SUMIFS(全明細!$G$2:$G$975,全明細!$F$2:$F$975,$A17,全明細!$D$2:$D$975,K$4)</f>
        <v>0</v>
      </c>
      <c r="L17" s="5" t="n">
        <f aca="false">SUMIFS(全明細!$G$2:$G$975,全明細!$F$2:$F$975,$A17,全明細!$D$2:$D$975,L$4)</f>
        <v>0</v>
      </c>
      <c r="M17" s="10" t="n">
        <f aca="false">SUM(B17:L17)</f>
        <v>286845</v>
      </c>
      <c r="N17" s="11" t="n">
        <f aca="false">IF(M$22=0,0,M17/M$22)</f>
        <v>0.00959572378860699</v>
      </c>
    </row>
    <row r="18" customFormat="false" ht="15" hidden="false" customHeight="false" outlineLevel="0" collapsed="false">
      <c r="A18" s="4" t="s">
        <v>68</v>
      </c>
      <c r="B18" s="5" t="n">
        <f aca="false">SUMIFS(全明細!$G$2:$G$975,全明細!$F$2:$F$975,$A18,全明細!$D$2:$D$975,B$4)</f>
        <v>0</v>
      </c>
      <c r="C18" s="5" t="n">
        <f aca="false">SUMIFS(全明細!$G$2:$G$975,全明細!$F$2:$F$975,$A18,全明細!$D$2:$D$975,C$4)</f>
        <v>5005</v>
      </c>
      <c r="D18" s="5" t="n">
        <f aca="false">SUMIFS(全明細!$G$2:$G$975,全明細!$F$2:$F$975,$A18,全明細!$D$2:$D$975,D$4)</f>
        <v>0</v>
      </c>
      <c r="E18" s="5" t="n">
        <f aca="false">SUMIFS(全明細!$G$2:$G$975,全明細!$F$2:$F$975,$A18,全明細!$D$2:$D$975,E$4)</f>
        <v>0</v>
      </c>
      <c r="F18" s="5" t="n">
        <f aca="false">SUMIFS(全明細!$G$2:$G$975,全明細!$F$2:$F$975,$A18,全明細!$D$2:$D$975,F$4)</f>
        <v>0</v>
      </c>
      <c r="G18" s="5" t="n">
        <f aca="false">SUMIFS(全明細!$G$2:$G$975,全明細!$F$2:$F$975,$A18,全明細!$D$2:$D$975,G$4)</f>
        <v>10340</v>
      </c>
      <c r="H18" s="5" t="n">
        <f aca="false">SUMIFS(全明細!$G$2:$G$975,全明細!$F$2:$F$975,$A18,全明細!$D$2:$D$975,H$4)</f>
        <v>6050</v>
      </c>
      <c r="I18" s="5" t="n">
        <f aca="false">SUMIFS(全明細!$G$2:$G$975,全明細!$F$2:$F$975,$A18,全明細!$D$2:$D$975,I$4)</f>
        <v>13750</v>
      </c>
      <c r="J18" s="5" t="n">
        <f aca="false">SUMIFS(全明細!$G$2:$G$975,全明細!$F$2:$F$975,$A18,全明細!$D$2:$D$975,J$4)</f>
        <v>6050</v>
      </c>
      <c r="K18" s="5" t="n">
        <f aca="false">SUMIFS(全明細!$G$2:$G$975,全明細!$F$2:$F$975,$A18,全明細!$D$2:$D$975,K$4)</f>
        <v>0</v>
      </c>
      <c r="L18" s="5" t="n">
        <f aca="false">SUMIFS(全明細!$G$2:$G$975,全明細!$F$2:$F$975,$A18,全明細!$D$2:$D$975,L$4)</f>
        <v>0</v>
      </c>
      <c r="M18" s="10" t="n">
        <f aca="false">SUM(B18:L18)</f>
        <v>41195</v>
      </c>
      <c r="N18" s="11" t="n">
        <f aca="false">IF(M$22=0,0,M18/M$22)</f>
        <v>0.00137808168687502</v>
      </c>
    </row>
    <row r="19" customFormat="false" ht="15" hidden="false" customHeight="false" outlineLevel="0" collapsed="false">
      <c r="A19" s="4" t="s">
        <v>105</v>
      </c>
      <c r="B19" s="5" t="n">
        <f aca="false">SUMIFS(全明細!$G$2:$G$975,全明細!$F$2:$F$975,$A19,全明細!$D$2:$D$975,B$4)</f>
        <v>0</v>
      </c>
      <c r="C19" s="5" t="n">
        <f aca="false">SUMIFS(全明細!$G$2:$G$975,全明細!$F$2:$F$975,$A19,全明細!$D$2:$D$975,C$4)</f>
        <v>0</v>
      </c>
      <c r="D19" s="5" t="n">
        <f aca="false">SUMIFS(全明細!$G$2:$G$975,全明細!$F$2:$F$975,$A19,全明細!$D$2:$D$975,D$4)</f>
        <v>7756</v>
      </c>
      <c r="E19" s="5" t="n">
        <f aca="false">SUMIFS(全明細!$G$2:$G$975,全明細!$F$2:$F$975,$A19,全明細!$D$2:$D$975,E$4)</f>
        <v>10023</v>
      </c>
      <c r="F19" s="5" t="n">
        <f aca="false">SUMIFS(全明細!$G$2:$G$975,全明細!$F$2:$F$975,$A19,全明細!$D$2:$D$975,F$4)</f>
        <v>1375</v>
      </c>
      <c r="G19" s="5" t="n">
        <f aca="false">SUMIFS(全明細!$G$2:$G$975,全明細!$F$2:$F$975,$A19,全明細!$D$2:$D$975,G$4)</f>
        <v>11038</v>
      </c>
      <c r="H19" s="5" t="n">
        <f aca="false">SUMIFS(全明細!$G$2:$G$975,全明細!$F$2:$F$975,$A19,全明細!$D$2:$D$975,H$4)</f>
        <v>5215</v>
      </c>
      <c r="I19" s="5" t="n">
        <f aca="false">SUMIFS(全明細!$G$2:$G$975,全明細!$F$2:$F$975,$A19,全明細!$D$2:$D$975,I$4)</f>
        <v>1941</v>
      </c>
      <c r="J19" s="5" t="n">
        <f aca="false">SUMIFS(全明細!$G$2:$G$975,全明細!$F$2:$F$975,$A19,全明細!$D$2:$D$975,J$4)</f>
        <v>2558</v>
      </c>
      <c r="K19" s="5" t="n">
        <f aca="false">SUMIFS(全明細!$G$2:$G$975,全明細!$F$2:$F$975,$A19,全明細!$D$2:$D$975,K$4)</f>
        <v>0</v>
      </c>
      <c r="L19" s="5" t="n">
        <f aca="false">SUMIFS(全明細!$G$2:$G$975,全明細!$F$2:$F$975,$A19,全明細!$D$2:$D$975,L$4)</f>
        <v>0</v>
      </c>
      <c r="M19" s="10" t="n">
        <f aca="false">SUM(B19:L19)</f>
        <v>39906</v>
      </c>
      <c r="N19" s="11" t="n">
        <f aca="false">IF(M$22=0,0,M19/M$22)</f>
        <v>0.00133496122821785</v>
      </c>
    </row>
    <row r="20" customFormat="false" ht="15" hidden="false" customHeight="false" outlineLevel="0" collapsed="false">
      <c r="A20" s="4" t="s">
        <v>28</v>
      </c>
      <c r="B20" s="5" t="n">
        <f aca="false">SUMIFS(全明細!$G$2:$G$975,全明細!$F$2:$F$975,$A20,全明細!$D$2:$D$975,B$4)</f>
        <v>0</v>
      </c>
      <c r="C20" s="5" t="n">
        <f aca="false">SUMIFS(全明細!$G$2:$G$975,全明細!$F$2:$F$975,$A20,全明細!$D$2:$D$975,C$4)</f>
        <v>22820</v>
      </c>
      <c r="D20" s="5" t="n">
        <f aca="false">SUMIFS(全明細!$G$2:$G$975,全明細!$F$2:$F$975,$A20,全明細!$D$2:$D$975,D$4)</f>
        <v>59370</v>
      </c>
      <c r="E20" s="5" t="n">
        <f aca="false">SUMIFS(全明細!$G$2:$G$975,全明細!$F$2:$F$975,$A20,全明細!$D$2:$D$975,E$4)</f>
        <v>98120</v>
      </c>
      <c r="F20" s="5" t="n">
        <f aca="false">SUMIFS(全明細!$G$2:$G$975,全明細!$F$2:$F$975,$A20,全明細!$D$2:$D$975,F$4)</f>
        <v>60073</v>
      </c>
      <c r="G20" s="5" t="n">
        <f aca="false">SUMIFS(全明細!$G$2:$G$975,全明細!$F$2:$F$975,$A20,全明細!$D$2:$D$975,G$4)</f>
        <v>89029</v>
      </c>
      <c r="H20" s="5" t="n">
        <f aca="false">SUMIFS(全明細!$G$2:$G$975,全明細!$F$2:$F$975,$A20,全明細!$D$2:$D$975,H$4)</f>
        <v>81829</v>
      </c>
      <c r="I20" s="5" t="n">
        <f aca="false">SUMIFS(全明細!$G$2:$G$975,全明細!$F$2:$F$975,$A20,全明細!$D$2:$D$975,I$4)</f>
        <v>66966</v>
      </c>
      <c r="J20" s="5" t="n">
        <f aca="false">SUMIFS(全明細!$G$2:$G$975,全明細!$F$2:$F$975,$A20,全明細!$D$2:$D$975,J$4)</f>
        <v>64450</v>
      </c>
      <c r="K20" s="5" t="n">
        <f aca="false">SUMIFS(全明細!$G$2:$G$975,全明細!$F$2:$F$975,$A20,全明細!$D$2:$D$975,K$4)</f>
        <v>55000</v>
      </c>
      <c r="L20" s="5" t="n">
        <f aca="false">SUMIFS(全明細!$G$2:$G$975,全明細!$F$2:$F$975,$A20,全明細!$D$2:$D$975,L$4)</f>
        <v>0</v>
      </c>
      <c r="M20" s="10" t="n">
        <f aca="false">SUM(B20:L20)</f>
        <v>597657</v>
      </c>
      <c r="N20" s="11" t="n">
        <f aca="false">IF(M$22=0,0,M20/M$22)</f>
        <v>0.0199932071060241</v>
      </c>
    </row>
    <row r="21" customFormat="false" ht="15" hidden="false" customHeight="false" outlineLevel="0" collapsed="false">
      <c r="A21" s="4" t="s">
        <v>440</v>
      </c>
      <c r="B21" s="5" t="n">
        <f aca="false">SUMIFS(全明細!$G$2:$G$975,全明細!$F$2:$F$975,$A21,全明細!$D$2:$D$975,B$4)</f>
        <v>0</v>
      </c>
      <c r="C21" s="5" t="n">
        <f aca="false">SUMIFS(全明細!$G$2:$G$975,全明細!$F$2:$F$975,$A21,全明細!$D$2:$D$975,C$4)</f>
        <v>0</v>
      </c>
      <c r="D21" s="5" t="n">
        <f aca="false">SUMIFS(全明細!$G$2:$G$975,全明細!$F$2:$F$975,$A21,全明細!$D$2:$D$975,D$4)</f>
        <v>0</v>
      </c>
      <c r="E21" s="5" t="n">
        <f aca="false">SUMIFS(全明細!$G$2:$G$975,全明細!$F$2:$F$975,$A21,全明細!$D$2:$D$975,E$4)</f>
        <v>0</v>
      </c>
      <c r="F21" s="5" t="n">
        <f aca="false">SUMIFS(全明細!$G$2:$G$975,全明細!$F$2:$F$975,$A21,全明細!$D$2:$D$975,F$4)</f>
        <v>0</v>
      </c>
      <c r="G21" s="5" t="n">
        <f aca="false">SUMIFS(全明細!$G$2:$G$975,全明細!$F$2:$F$975,$A21,全明細!$D$2:$D$975,G$4)</f>
        <v>0</v>
      </c>
      <c r="H21" s="5" t="n">
        <f aca="false">SUMIFS(全明細!$G$2:$G$975,全明細!$F$2:$F$975,$A21,全明細!$D$2:$D$975,H$4)</f>
        <v>1350511</v>
      </c>
      <c r="I21" s="5" t="n">
        <f aca="false">SUMIFS(全明細!$G$2:$G$975,全明細!$F$2:$F$975,$A21,全明細!$D$2:$D$975,I$4)</f>
        <v>0</v>
      </c>
      <c r="J21" s="5" t="n">
        <f aca="false">SUMIFS(全明細!$G$2:$G$975,全明細!$F$2:$F$975,$A21,全明細!$D$2:$D$975,J$4)</f>
        <v>0</v>
      </c>
      <c r="K21" s="5" t="n">
        <f aca="false">SUMIFS(全明細!$G$2:$G$975,全明細!$F$2:$F$975,$A21,全明細!$D$2:$D$975,K$4)</f>
        <v>0</v>
      </c>
      <c r="L21" s="5" t="n">
        <f aca="false">SUMIFS(全明細!$G$2:$G$975,全明細!$F$2:$F$975,$A21,全明細!$D$2:$D$975,L$4)</f>
        <v>0</v>
      </c>
      <c r="M21" s="10" t="n">
        <f aca="false">SUM(B21:L21)</f>
        <v>1350511</v>
      </c>
      <c r="N21" s="11" t="n">
        <f aca="false">IF(M$22=0,0,M21/M$22)</f>
        <v>0.045178164268073</v>
      </c>
    </row>
    <row r="22" customFormat="false" ht="15" hidden="false" customHeight="false" outlineLevel="0" collapsed="false">
      <c r="A22" s="12" t="s">
        <v>446</v>
      </c>
      <c r="B22" s="13" t="n">
        <f aca="false">SUM(B5:B21)</f>
        <v>19277</v>
      </c>
      <c r="C22" s="13" t="n">
        <f aca="false">SUM(C5:C21)</f>
        <v>2017892</v>
      </c>
      <c r="D22" s="13" t="n">
        <f aca="false">SUM(D5:D21)</f>
        <v>1300106</v>
      </c>
      <c r="E22" s="13" t="n">
        <f aca="false">SUM(E5:E21)</f>
        <v>3025275</v>
      </c>
      <c r="F22" s="13" t="n">
        <f aca="false">SUM(F5:F21)</f>
        <v>2405462</v>
      </c>
      <c r="G22" s="13" t="n">
        <f aca="false">SUM(G5:G21)</f>
        <v>10866716</v>
      </c>
      <c r="H22" s="13" t="n">
        <f aca="false">SUM(H5:H21)</f>
        <v>2229663</v>
      </c>
      <c r="I22" s="13" t="n">
        <f aca="false">SUM(I5:I21)</f>
        <v>4819015</v>
      </c>
      <c r="J22" s="13" t="n">
        <f aca="false">SUM(J5:J21)</f>
        <v>2699394</v>
      </c>
      <c r="K22" s="13" t="n">
        <f aca="false">SUM(K5:K21)</f>
        <v>478623</v>
      </c>
      <c r="L22" s="13" t="n">
        <f aca="false">SUM(L5:L21)</f>
        <v>31580</v>
      </c>
      <c r="M22" s="13" t="n">
        <f aca="false">SUM(M5:M21)</f>
        <v>29893003</v>
      </c>
    </row>
    <row r="23" customFormat="false" ht="15" hidden="false" customHeight="false" outlineLevel="0" collapsed="false">
      <c r="A23" s="14" t="s">
        <v>448</v>
      </c>
      <c r="B23" s="10" t="n">
        <f aca="false">B22-B5</f>
        <v>19277</v>
      </c>
      <c r="C23" s="10" t="n">
        <f aca="false">C22-C5</f>
        <v>664551</v>
      </c>
      <c r="D23" s="10" t="n">
        <f aca="false">D22-D5</f>
        <v>807906</v>
      </c>
      <c r="E23" s="10" t="n">
        <f aca="false">E22-E5</f>
        <v>2081534</v>
      </c>
      <c r="F23" s="10" t="n">
        <f aca="false">F22-F5</f>
        <v>1527408</v>
      </c>
      <c r="G23" s="10" t="n">
        <f aca="false">G22-G5</f>
        <v>1856307</v>
      </c>
      <c r="H23" s="10" t="n">
        <f aca="false">H22-H5</f>
        <v>2229663</v>
      </c>
      <c r="I23" s="10" t="n">
        <f aca="false">I22-I5</f>
        <v>1345215</v>
      </c>
      <c r="J23" s="10" t="n">
        <f aca="false">J22-J5</f>
        <v>1796753</v>
      </c>
      <c r="K23" s="10" t="n">
        <f aca="false">K22-K5</f>
        <v>478623</v>
      </c>
      <c r="L23" s="10" t="n">
        <f aca="false">L22-L5</f>
        <v>31580</v>
      </c>
      <c r="M23" s="10" t="n">
        <f aca="false">M22-M5</f>
        <v>12838817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1"/>
  </cols>
  <sheetData>
    <row r="1" customFormat="false" ht="19.4" hidden="false" customHeight="false" outlineLevel="0" collapsed="false">
      <c r="A1" s="6" t="s">
        <v>449</v>
      </c>
    </row>
    <row r="3" customFormat="false" ht="15" hidden="false" customHeight="false" outlineLevel="0" collapsed="false">
      <c r="A3" s="8" t="s">
        <v>0</v>
      </c>
      <c r="B3" s="15" t="s">
        <v>444</v>
      </c>
      <c r="C3" s="15" t="s">
        <v>445</v>
      </c>
      <c r="D3" s="15" t="s">
        <v>9</v>
      </c>
      <c r="E3" s="15" t="s">
        <v>92</v>
      </c>
      <c r="F3" s="15" t="s">
        <v>124</v>
      </c>
      <c r="G3" s="15" t="s">
        <v>140</v>
      </c>
      <c r="H3" s="15" t="s">
        <v>161</v>
      </c>
      <c r="I3" s="15" t="s">
        <v>170</v>
      </c>
      <c r="J3" s="15" t="s">
        <v>185</v>
      </c>
      <c r="K3" s="15" t="s">
        <v>220</v>
      </c>
      <c r="L3" s="15" t="s">
        <v>244</v>
      </c>
      <c r="M3" s="8" t="s">
        <v>446</v>
      </c>
    </row>
    <row r="4" customFormat="false" ht="15" hidden="false" customHeight="false" outlineLevel="0" collapsed="false">
      <c r="A4" s="2" t="s">
        <v>8</v>
      </c>
      <c r="B4" s="5" t="n">
        <f aca="false">SUMIFS(全明細!$G$2:$G$975,全明細!$A$2:$A$975,$A4,全明細!$D$2:$D$975,B$3)</f>
        <v>19277</v>
      </c>
      <c r="C4" s="5" t="n">
        <f aca="false">SUMIFS(全明細!$G$2:$G$975,全明細!$A$2:$A$975,$A4,全明細!$D$2:$D$975,C$3)</f>
        <v>2017892</v>
      </c>
      <c r="D4" s="5" t="n">
        <f aca="false">SUMIFS(全明細!$G$2:$G$975,全明細!$A$2:$A$975,$A4,全明細!$D$2:$D$975,D$3)</f>
        <v>1300106</v>
      </c>
      <c r="E4" s="5" t="n">
        <f aca="false">SUMIFS(全明細!$G$2:$G$975,全明細!$A$2:$A$975,$A4,全明細!$D$2:$D$975,E$3)</f>
        <v>578540</v>
      </c>
      <c r="F4" s="5" t="n">
        <f aca="false">SUMIFS(全明細!$G$2:$G$975,全明細!$A$2:$A$975,$A4,全明細!$D$2:$D$975,F$3)</f>
        <v>1263204</v>
      </c>
      <c r="G4" s="5" t="n">
        <f aca="false">SUMIFS(全明細!$G$2:$G$975,全明細!$A$2:$A$975,$A4,全明細!$D$2:$D$975,G$3)</f>
        <v>3705295</v>
      </c>
      <c r="H4" s="5" t="n">
        <f aca="false">SUMIFS(全明細!$G$2:$G$975,全明細!$A$2:$A$975,$A4,全明細!$D$2:$D$975,H$3)</f>
        <v>643395</v>
      </c>
      <c r="I4" s="5" t="n">
        <f aca="false">SUMIFS(全明細!$G$2:$G$975,全明細!$A$2:$A$975,$A4,全明細!$D$2:$D$975,I$3)</f>
        <v>1348862</v>
      </c>
      <c r="J4" s="5" t="n">
        <f aca="false">SUMIFS(全明細!$G$2:$G$975,全明細!$A$2:$A$975,$A4,全明細!$D$2:$D$975,J$3)</f>
        <v>1220895</v>
      </c>
      <c r="K4" s="5" t="n">
        <f aca="false">SUMIFS(全明細!$G$2:$G$975,全明細!$A$2:$A$975,$A4,全明細!$D$2:$D$975,K$3)</f>
        <v>401978</v>
      </c>
      <c r="L4" s="5" t="n">
        <f aca="false">SUMIFS(全明細!$G$2:$G$975,全明細!$A$2:$A$975,$A4,全明細!$D$2:$D$975,L$3)</f>
        <v>31580</v>
      </c>
      <c r="M4" s="10" t="n">
        <f aca="false">SUM(B4:L4)</f>
        <v>12531024</v>
      </c>
    </row>
    <row r="5" customFormat="false" ht="15" hidden="false" customHeight="false" outlineLevel="0" collapsed="false">
      <c r="A5" s="2" t="s">
        <v>247</v>
      </c>
      <c r="B5" s="5" t="n">
        <f aca="false">SUMIFS(全明細!$G$2:$G$975,全明細!$A$2:$A$975,$A5,全明細!$D$2:$D$975,B$3)</f>
        <v>0</v>
      </c>
      <c r="C5" s="5" t="n">
        <f aca="false">SUMIFS(全明細!$G$2:$G$975,全明細!$A$2:$A$975,$A5,全明細!$D$2:$D$975,C$3)</f>
        <v>0</v>
      </c>
      <c r="D5" s="5" t="n">
        <f aca="false">SUMIFS(全明細!$G$2:$G$975,全明細!$A$2:$A$975,$A5,全明細!$D$2:$D$975,D$3)</f>
        <v>0</v>
      </c>
      <c r="E5" s="5" t="n">
        <f aca="false">SUMIFS(全明細!$G$2:$G$975,全明細!$A$2:$A$975,$A5,全明細!$D$2:$D$975,E$3)</f>
        <v>2446735</v>
      </c>
      <c r="F5" s="5" t="n">
        <f aca="false">SUMIFS(全明細!$G$2:$G$975,全明細!$A$2:$A$975,$A5,全明細!$D$2:$D$975,F$3)</f>
        <v>1142258</v>
      </c>
      <c r="G5" s="5" t="n">
        <f aca="false">SUMIFS(全明細!$G$2:$G$975,全明細!$A$2:$A$975,$A5,全明細!$D$2:$D$975,G$3)</f>
        <v>7161421</v>
      </c>
      <c r="H5" s="5" t="n">
        <f aca="false">SUMIFS(全明細!$G$2:$G$975,全明細!$A$2:$A$975,$A5,全明細!$D$2:$D$975,H$3)</f>
        <v>1586268</v>
      </c>
      <c r="I5" s="5" t="n">
        <f aca="false">SUMIFS(全明細!$G$2:$G$975,全明細!$A$2:$A$975,$A5,全明細!$D$2:$D$975,I$3)</f>
        <v>3470153</v>
      </c>
      <c r="J5" s="5" t="n">
        <f aca="false">SUMIFS(全明細!$G$2:$G$975,全明細!$A$2:$A$975,$A5,全明細!$D$2:$D$975,J$3)</f>
        <v>1478499</v>
      </c>
      <c r="K5" s="5" t="n">
        <f aca="false">SUMIFS(全明細!$G$2:$G$975,全明細!$A$2:$A$975,$A5,全明細!$D$2:$D$975,K$3)</f>
        <v>76645</v>
      </c>
      <c r="L5" s="5" t="n">
        <f aca="false">SUMIFS(全明細!$G$2:$G$975,全明細!$A$2:$A$975,$A5,全明細!$D$2:$D$975,L$3)</f>
        <v>0</v>
      </c>
      <c r="M5" s="10" t="n">
        <f aca="false">SUM(B5:L5)</f>
        <v>17361979</v>
      </c>
    </row>
    <row r="6" customFormat="false" ht="15" hidden="false" customHeight="false" outlineLevel="0" collapsed="false">
      <c r="A6" s="12" t="s">
        <v>446</v>
      </c>
      <c r="B6" s="13" t="n">
        <f aca="false">SUM(B4:B5)</f>
        <v>19277</v>
      </c>
      <c r="C6" s="13" t="n">
        <f aca="false">SUM(C4:C5)</f>
        <v>2017892</v>
      </c>
      <c r="D6" s="13" t="n">
        <f aca="false">SUM(D4:D5)</f>
        <v>1300106</v>
      </c>
      <c r="E6" s="13" t="n">
        <f aca="false">SUM(E4:E5)</f>
        <v>3025275</v>
      </c>
      <c r="F6" s="13" t="n">
        <f aca="false">SUM(F4:F5)</f>
        <v>2405462</v>
      </c>
      <c r="G6" s="13" t="n">
        <f aca="false">SUM(G4:G5)</f>
        <v>10866716</v>
      </c>
      <c r="H6" s="13" t="n">
        <f aca="false">SUM(H4:H5)</f>
        <v>2229663</v>
      </c>
      <c r="I6" s="13" t="n">
        <f aca="false">SUM(I4:I5)</f>
        <v>4819015</v>
      </c>
      <c r="J6" s="13" t="n">
        <f aca="false">SUM(J4:J5)</f>
        <v>2699394</v>
      </c>
      <c r="K6" s="13" t="n">
        <f aca="false">SUM(K4:K5)</f>
        <v>478623</v>
      </c>
      <c r="L6" s="13" t="n">
        <f aca="false">SUM(L4:L5)</f>
        <v>31580</v>
      </c>
      <c r="M6" s="13" t="n">
        <f aca="false">SUM(M4:M5)</f>
        <v>29893003</v>
      </c>
    </row>
    <row r="8" customFormat="false" ht="15" hidden="false" customHeight="false" outlineLevel="0" collapsed="false">
      <c r="A8" s="16" t="s">
        <v>450</v>
      </c>
    </row>
    <row r="9" customFormat="false" ht="15" hidden="false" customHeight="false" outlineLevel="0" collapsed="false">
      <c r="A9" s="16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80"/>
  </cols>
  <sheetData>
    <row r="1" customFormat="false" ht="19.4" hidden="false" customHeight="false" outlineLevel="0" collapsed="false">
      <c r="A1" s="6" t="s">
        <v>452</v>
      </c>
    </row>
    <row r="3" customFormat="false" ht="15" hidden="false" customHeight="false" outlineLevel="0" collapsed="false">
      <c r="A3" s="8" t="s">
        <v>453</v>
      </c>
      <c r="B3" s="8" t="s">
        <v>454</v>
      </c>
      <c r="C3" s="8" t="s">
        <v>455</v>
      </c>
      <c r="D3" s="8" t="s">
        <v>456</v>
      </c>
      <c r="E3" s="8" t="s">
        <v>457</v>
      </c>
      <c r="F3" s="8" t="s">
        <v>458</v>
      </c>
    </row>
    <row r="4" customFormat="false" ht="15" hidden="false" customHeight="false" outlineLevel="0" collapsed="false">
      <c r="A4" s="2" t="s">
        <v>114</v>
      </c>
      <c r="B4" s="4" t="s">
        <v>440</v>
      </c>
      <c r="C4" s="5" t="n">
        <f aca="false">SUMIF(全明細!$E$2:$E$975,"MLT 0570666020",全明細!$G$2:$G$975)</f>
        <v>443000</v>
      </c>
      <c r="D4" s="17" t="n">
        <f aca="false">COUNTIF(全明細!$E$2:$E$975,"MLT 0570666020")</f>
        <v>9</v>
      </c>
      <c r="E4" s="5" t="n">
        <f aca="false">IF(D4=0,0,C4/10)</f>
        <v>44300</v>
      </c>
      <c r="F4" s="4" t="s">
        <v>459</v>
      </c>
    </row>
    <row r="5" customFormat="false" ht="15" hidden="false" customHeight="false" outlineLevel="0" collapsed="false">
      <c r="A5" s="4" t="s">
        <v>78</v>
      </c>
      <c r="B5" s="4" t="s">
        <v>79</v>
      </c>
      <c r="C5" s="5" t="n">
        <f aca="false">SUMIF(全明細!$E$2:$E$975,"アフターコールナビ",全明細!$G$2:$G$975)</f>
        <v>1080516</v>
      </c>
      <c r="D5" s="17" t="n">
        <f aca="false">COUNTIF(全明細!$E$2:$E$975,"アフターコールナビ")</f>
        <v>9</v>
      </c>
      <c r="E5" s="5" t="n">
        <f aca="false">IF(D5=0,0,C5/10)</f>
        <v>108051.6</v>
      </c>
      <c r="F5" s="4" t="s">
        <v>460</v>
      </c>
    </row>
    <row r="6" customFormat="false" ht="15" hidden="false" customHeight="false" outlineLevel="0" collapsed="false">
      <c r="A6" s="2" t="s">
        <v>57</v>
      </c>
      <c r="B6" s="4" t="s">
        <v>59</v>
      </c>
      <c r="C6" s="5" t="n">
        <f aca="false">SUMIF(全明細!$E$2:$E$975,"PAYPAL *ADVANCE STD(ACCOUNTING)",全明細!$G$2:$G$975)</f>
        <v>497500</v>
      </c>
      <c r="D6" s="17" t="n">
        <f aca="false">COUNTIF(全明細!$E$2:$E$975,"PAYPAL *ADVANCE STD(ACCOUNTING)")</f>
        <v>14</v>
      </c>
      <c r="E6" s="5" t="n">
        <f aca="false">IF(D6=0,0,C6/10)</f>
        <v>49750</v>
      </c>
      <c r="F6" s="2" t="s">
        <v>461</v>
      </c>
    </row>
    <row r="7" customFormat="false" ht="15" hidden="false" customHeight="false" outlineLevel="0" collapsed="false">
      <c r="A7" s="2" t="s">
        <v>181</v>
      </c>
      <c r="B7" s="4" t="s">
        <v>182</v>
      </c>
      <c r="C7" s="5" t="n">
        <f aca="false">SUMIF(全明細!$E$2:$E$975,"PAYPAL *NKOFFICELLC(CONSULTING)",全明細!$G$2:$G$975)</f>
        <v>120000</v>
      </c>
      <c r="D7" s="17" t="n">
        <f aca="false">COUNTIF(全明細!$E$2:$E$975,"PAYPAL *NKOFFICELLC(CONSULTING)")</f>
        <v>4</v>
      </c>
      <c r="E7" s="5" t="n">
        <f aca="false">IF(D7=0,0,C7/10)</f>
        <v>12000</v>
      </c>
      <c r="F7" s="4" t="s">
        <v>462</v>
      </c>
    </row>
    <row r="8" customFormat="false" ht="15" hidden="false" customHeight="false" outlineLevel="0" collapsed="false">
      <c r="A8" s="4" t="s">
        <v>86</v>
      </c>
      <c r="B8" s="4" t="s">
        <v>463</v>
      </c>
      <c r="C8" s="5" t="n">
        <f aca="false">SUMIF(全明細!$E$2:$E$975,"バランス大家サロン",全明細!$G$2:$G$975)</f>
        <v>176000</v>
      </c>
      <c r="D8" s="17" t="n">
        <f aca="false">COUNTIF(全明細!$E$2:$E$975,"バランス大家サロン")</f>
        <v>8</v>
      </c>
      <c r="E8" s="5" t="n">
        <f aca="false">IF(D8=0,0,C8/10)</f>
        <v>17600</v>
      </c>
      <c r="F8" s="4" t="s">
        <v>464</v>
      </c>
    </row>
    <row r="9" customFormat="false" ht="15" hidden="false" customHeight="false" outlineLevel="0" collapsed="false">
      <c r="A9" s="4" t="s">
        <v>290</v>
      </c>
      <c r="B9" s="4" t="s">
        <v>463</v>
      </c>
      <c r="C9" s="5" t="n">
        <f aca="false">SUMIF(全明細!$E$2:$E$975,"クラブジャイアンサロン",全明細!$G$2:$G$975)</f>
        <v>66000</v>
      </c>
      <c r="D9" s="17" t="n">
        <f aca="false">COUNTIF(全明細!$E$2:$E$975,"クラブジャイアンサロン")</f>
        <v>4</v>
      </c>
      <c r="E9" s="5" t="n">
        <f aca="false">IF(D9=0,0,C9/10)</f>
        <v>6600</v>
      </c>
      <c r="F9" s="4" t="s">
        <v>465</v>
      </c>
    </row>
    <row r="10" customFormat="false" ht="15" hidden="false" customHeight="false" outlineLevel="0" collapsed="false">
      <c r="A10" s="4" t="s">
        <v>94</v>
      </c>
      <c r="B10" s="4" t="s">
        <v>463</v>
      </c>
      <c r="C10" s="5" t="n">
        <f aca="false">SUMIF(全明細!$E$2:$E$975,"セリック不動産投資道",全明細!$G$2:$G$975)</f>
        <v>86240</v>
      </c>
      <c r="D10" s="17" t="n">
        <f aca="false">COUNTIF(全明細!$E$2:$E$975,"セリック不動産投資道")</f>
        <v>8</v>
      </c>
      <c r="E10" s="5" t="n">
        <f aca="false">IF(D10=0,0,C10/10)</f>
        <v>8624</v>
      </c>
      <c r="F10" s="4" t="s">
        <v>466</v>
      </c>
    </row>
    <row r="11" customFormat="false" ht="15" hidden="false" customHeight="false" outlineLevel="0" collapsed="false">
      <c r="A11" s="4" t="s">
        <v>224</v>
      </c>
      <c r="B11" s="4" t="s">
        <v>225</v>
      </c>
      <c r="C11" s="5" t="n">
        <f aca="false">SUMIF(全明細!$E$2:$E$975,"楽待プレミアム",全明細!$G$2:$G$975)</f>
        <v>6600</v>
      </c>
      <c r="D11" s="17" t="n">
        <f aca="false">COUNTIF(全明細!$E$2:$E$975,"楽待プレミアム")</f>
        <v>2</v>
      </c>
      <c r="E11" s="5" t="n">
        <f aca="false">IF(D11=0,0,C11/10)</f>
        <v>660</v>
      </c>
      <c r="F11" s="4" t="s">
        <v>467</v>
      </c>
    </row>
    <row r="12" customFormat="false" ht="15" hidden="false" customHeight="false" outlineLevel="0" collapsed="false">
      <c r="A12" s="2" t="s">
        <v>165</v>
      </c>
      <c r="B12" s="4" t="s">
        <v>468</v>
      </c>
      <c r="C12" s="5" t="n">
        <f aca="false">SUMIF(全明細!$E$2:$E$975,"MONTHLY GO(レンタカー月額)",全明細!$G$2:$G$975)</f>
        <v>570680</v>
      </c>
      <c r="D12" s="17" t="n">
        <f aca="false">COUNTIF(全明細!$E$2:$E$975,"MONTHLY GO(レンタカー月額)")</f>
        <v>2</v>
      </c>
      <c r="E12" s="5" t="n">
        <f aca="false">IF(D12=0,0,C12/10)</f>
        <v>57068</v>
      </c>
      <c r="F12" s="4" t="s">
        <v>469</v>
      </c>
    </row>
    <row r="13" customFormat="false" ht="15" hidden="false" customHeight="false" outlineLevel="0" collapsed="false">
      <c r="A13" s="4" t="s">
        <v>14</v>
      </c>
      <c r="B13" s="4" t="s">
        <v>470</v>
      </c>
      <c r="C13" s="5" t="n">
        <f aca="false">SUMIF(全明細!$E$2:$E$975,"ソフトバンクM",全明細!$G$2:$G$975)</f>
        <v>95328</v>
      </c>
      <c r="D13" s="17" t="n">
        <f aca="false">COUNTIF(全明細!$E$2:$E$975,"ソフトバンクM")</f>
        <v>42</v>
      </c>
      <c r="E13" s="5" t="n">
        <f aca="false">IF(D13=0,0,C13/10)</f>
        <v>9532.8</v>
      </c>
      <c r="F13" s="4" t="s">
        <v>471</v>
      </c>
    </row>
    <row r="14" customFormat="false" ht="15" hidden="false" customHeight="false" outlineLevel="0" collapsed="false">
      <c r="A14" s="2" t="s">
        <v>19</v>
      </c>
      <c r="B14" s="4" t="s">
        <v>470</v>
      </c>
      <c r="C14" s="5" t="n">
        <f aca="false">SUMIF(全明細!$E$2:$E$975,"GMOとくとくBB",全明細!$G$2:$G$975)</f>
        <v>30834</v>
      </c>
      <c r="D14" s="17" t="n">
        <f aca="false">COUNTIF(全明細!$E$2:$E$975,"GMOとくとくBB")</f>
        <v>6</v>
      </c>
      <c r="E14" s="5" t="n">
        <f aca="false">IF(D14=0,0,C14/10)</f>
        <v>3083.4</v>
      </c>
      <c r="F14" s="4" t="s">
        <v>472</v>
      </c>
    </row>
    <row r="15" customFormat="false" ht="15" hidden="false" customHeight="false" outlineLevel="0" collapsed="false">
      <c r="A15" s="2" t="s">
        <v>473</v>
      </c>
      <c r="B15" s="4" t="s">
        <v>474</v>
      </c>
      <c r="C15" s="5" t="n">
        <f aca="false">SUMIF(全明細!$E$2:$E$975,"[BtoB]03Plus",全明細!$G$2:$G$975)+SUMIF(全明細!$E$2:$E$975,"03Plus",全明細!$G$2:$G$975)</f>
        <v>15697</v>
      </c>
      <c r="D15" s="17" t="n">
        <f aca="false">COUNTIF(全明細!$E$2:$E$975,"[BtoB]03Plus")+COUNTIF(全明細!$E$2:$E$975,"03Plus")</f>
        <v>4</v>
      </c>
      <c r="E15" s="5" t="n">
        <f aca="false">IF(D15=0,0,C15/10)</f>
        <v>1569.7</v>
      </c>
      <c r="F15" s="4" t="s">
        <v>475</v>
      </c>
    </row>
    <row r="16" customFormat="false" ht="15" hidden="false" customHeight="false" outlineLevel="0" collapsed="false">
      <c r="A16" s="4" t="s">
        <v>383</v>
      </c>
      <c r="B16" s="4" t="s">
        <v>470</v>
      </c>
      <c r="C16" s="5" t="n">
        <f aca="false">SUMIF(全明細!$E$2:$E$975,"ドコモご利用料金",全明細!$G$2:$G$975)</f>
        <v>21794</v>
      </c>
      <c r="D16" s="17" t="n">
        <f aca="false">COUNTIF(全明細!$E$2:$E$975,"ドコモご利用料金")</f>
        <v>2</v>
      </c>
      <c r="E16" s="5" t="n">
        <f aca="false">IF(D16=0,0,C16/10)</f>
        <v>2179.4</v>
      </c>
      <c r="F16" s="4" t="s">
        <v>476</v>
      </c>
    </row>
    <row r="17" customFormat="false" ht="15" hidden="false" customHeight="false" outlineLevel="0" collapsed="false">
      <c r="A17" s="2" t="s">
        <v>385</v>
      </c>
      <c r="B17" s="2" t="s">
        <v>477</v>
      </c>
      <c r="C17" s="5" t="n">
        <f aca="false">SUMIF(全明細!$E$2:$E$975,"Anthropic Claude サブスク",全明細!$G$2:$G$975)</f>
        <v>121024</v>
      </c>
      <c r="D17" s="17" t="n">
        <f aca="false">COUNTIF(全明細!$E$2:$E$975,"Anthropic Claude サブスク")</f>
        <v>5</v>
      </c>
      <c r="E17" s="5" t="n">
        <f aca="false">IF(D17=0,0,C17/10)</f>
        <v>12102.4</v>
      </c>
      <c r="F17" s="2" t="s">
        <v>478</v>
      </c>
    </row>
    <row r="18" customFormat="false" ht="15" hidden="false" customHeight="false" outlineLevel="0" collapsed="false">
      <c r="A18" s="2" t="s">
        <v>44</v>
      </c>
      <c r="B18" s="4" t="s">
        <v>479</v>
      </c>
      <c r="C18" s="5" t="n">
        <f aca="false">SUMIF(全明細!$E$2:$E$975,"GOOGLE ONE",全明細!$G$2:$G$975)</f>
        <v>26100</v>
      </c>
      <c r="D18" s="17" t="n">
        <f aca="false">COUNTIF(全明細!$E$2:$E$975,"GOOGLE ONE")</f>
        <v>9</v>
      </c>
      <c r="E18" s="5" t="n">
        <f aca="false">IF(D18=0,0,C18/10)</f>
        <v>2610</v>
      </c>
      <c r="F18" s="4" t="s">
        <v>480</v>
      </c>
    </row>
    <row r="19" customFormat="false" ht="15" hidden="false" customHeight="false" outlineLevel="0" collapsed="false">
      <c r="A19" s="2" t="s">
        <v>52</v>
      </c>
      <c r="B19" s="4" t="s">
        <v>481</v>
      </c>
      <c r="C19" s="5" t="n">
        <f aca="false">SUMIF(全明細!$E$2:$E$975,"YouTube Premium",全明細!$G$2:$G$975)</f>
        <v>11520</v>
      </c>
      <c r="D19" s="17" t="n">
        <f aca="false">COUNTIF(全明細!$E$2:$E$975,"YouTube Premium")</f>
        <v>9</v>
      </c>
      <c r="E19" s="5" t="n">
        <f aca="false">IF(D19=0,0,C19/10)</f>
        <v>1152</v>
      </c>
      <c r="F19" s="4" t="s">
        <v>482</v>
      </c>
    </row>
    <row r="20" customFormat="false" ht="15" hidden="false" customHeight="false" outlineLevel="0" collapsed="false">
      <c r="A20" s="4" t="s">
        <v>81</v>
      </c>
      <c r="B20" s="4" t="s">
        <v>483</v>
      </c>
      <c r="C20" s="5" t="n">
        <f aca="false">SUMIF(全明細!$E$2:$E$975,"アドビ",全明細!$G$2:$G$975)</f>
        <v>34860</v>
      </c>
      <c r="D20" s="17" t="n">
        <f aca="false">COUNTIF(全明細!$E$2:$E$975,"アドビ")</f>
        <v>7</v>
      </c>
      <c r="E20" s="5" t="n">
        <f aca="false">IF(D20=0,0,C20/10)</f>
        <v>3486</v>
      </c>
      <c r="F20" s="4" t="s">
        <v>484</v>
      </c>
    </row>
    <row r="21" customFormat="false" ht="15" hidden="false" customHeight="false" outlineLevel="0" collapsed="false">
      <c r="A21" s="2" t="s">
        <v>53</v>
      </c>
      <c r="B21" s="4" t="s">
        <v>485</v>
      </c>
      <c r="C21" s="5" t="n">
        <f aca="false">SUMIF(全明細!$E$2:$E$975,"McAfee",全明細!$G$2:$G$975)</f>
        <v>12980</v>
      </c>
      <c r="D21" s="17" t="n">
        <f aca="false">COUNTIF(全明細!$E$2:$E$975,"McAfee")</f>
        <v>1</v>
      </c>
      <c r="E21" s="5" t="n">
        <f aca="false">IF(D21=0,0,C21/10)</f>
        <v>1298</v>
      </c>
      <c r="F21" s="4" t="s">
        <v>486</v>
      </c>
    </row>
    <row r="22" customFormat="false" ht="15" hidden="false" customHeight="false" outlineLevel="0" collapsed="false">
      <c r="A22" s="2" t="s">
        <v>89</v>
      </c>
      <c r="B22" s="4" t="s">
        <v>440</v>
      </c>
      <c r="C22" s="5" t="n">
        <f aca="false">SUMIF(全明細!$E$2:$E$975,"MD(MDISM) SERVICE",全明細!$G$2:$G$975)</f>
        <v>10956</v>
      </c>
      <c r="D22" s="17" t="n">
        <f aca="false">COUNTIF(全明細!$E$2:$E$975,"MD(MDISM) SERVICE")</f>
        <v>2</v>
      </c>
      <c r="E22" s="5" t="n">
        <f aca="false">IF(D22=0,0,C22/10)</f>
        <v>1095.6</v>
      </c>
      <c r="F22" s="4" t="s">
        <v>487</v>
      </c>
    </row>
    <row r="23" customFormat="false" ht="15" hidden="false" customHeight="false" outlineLevel="0" collapsed="false">
      <c r="A23" s="2" t="s">
        <v>488</v>
      </c>
      <c r="B23" s="4" t="s">
        <v>489</v>
      </c>
      <c r="C23" s="5" t="n">
        <f aca="false">SUMIF(全明細!$E$2:$E$975,"Apple iTunes Store",全明細!$G$2:$G$975)+SUMIF(全明細!$E$2:$E$975,"APPLE COM BILL",全明細!$G$2:$G$975)+SUMIF(全明細!$E$2:$E$975,"アマゾンサービシーズ",全明細!$G$2:$G$975)</f>
        <v>88324</v>
      </c>
      <c r="D23" s="17" t="n">
        <f aca="false">COUNTIF(全明細!$E$2:$E$975,"Apple iTunes Store")+COUNTIF(全明細!$E$2:$E$975,"APPLE COM BILL")+COUNTIF(全明細!$E$2:$E$975,"アマゾンサービシーズ")</f>
        <v>42</v>
      </c>
      <c r="E23" s="5" t="n">
        <f aca="false">IF(D23=0,0,C23/10)</f>
        <v>8832.4</v>
      </c>
      <c r="F23" s="4" t="s">
        <v>490</v>
      </c>
    </row>
    <row r="24" customFormat="false" ht="15" hidden="false" customHeight="false" outlineLevel="0" collapsed="false">
      <c r="A24" s="2" t="s">
        <v>239</v>
      </c>
      <c r="B24" s="4" t="s">
        <v>491</v>
      </c>
      <c r="C24" s="5" t="n">
        <f aca="false">SUMIF(全明細!$E$2:$E$975,"GOアプリ(プレミアム)",全明細!$G$2:$G$975)</f>
        <v>2500</v>
      </c>
      <c r="D24" s="17" t="n">
        <f aca="false">COUNTIF(全明細!$E$2:$E$975,"GOアプリ(プレミアム)")</f>
        <v>1</v>
      </c>
      <c r="E24" s="5" t="n">
        <f aca="false">IF(D24=0,0,C24/10)</f>
        <v>250</v>
      </c>
      <c r="F24" s="4" t="s">
        <v>492</v>
      </c>
    </row>
    <row r="25" customFormat="false" ht="15" hidden="false" customHeight="false" outlineLevel="0" collapsed="false">
      <c r="A25" s="4" t="s">
        <v>312</v>
      </c>
      <c r="B25" s="4" t="s">
        <v>493</v>
      </c>
      <c r="C25" s="5" t="n">
        <f aca="false">SUMIF(全明細!$E$2:$E$975,"エキスパ",全明細!$G$2:$G$975)</f>
        <v>29800</v>
      </c>
      <c r="D25" s="17" t="n">
        <f aca="false">COUNTIF(全明細!$E$2:$E$975,"エキスパ")</f>
        <v>1</v>
      </c>
      <c r="E25" s="5" t="n">
        <f aca="false">IF(D25=0,0,C25/10)</f>
        <v>2980</v>
      </c>
      <c r="F25" s="2" t="s">
        <v>494</v>
      </c>
    </row>
    <row r="26" customFormat="false" ht="15" hidden="false" customHeight="false" outlineLevel="0" collapsed="false">
      <c r="A26" s="4" t="s">
        <v>348</v>
      </c>
      <c r="B26" s="4" t="s">
        <v>495</v>
      </c>
      <c r="C26" s="5" t="n">
        <f aca="false">SUMIF(全明細!$E$2:$E$975,"弥生株式会社",全明細!$G$2:$G$975)</f>
        <v>74470</v>
      </c>
      <c r="D26" s="17" t="n">
        <f aca="false">COUNTIF(全明細!$E$2:$E$975,"弥生株式会社")</f>
        <v>1</v>
      </c>
      <c r="E26" s="5" t="n">
        <f aca="false">IF(D26=0,0,C26/10)</f>
        <v>7447</v>
      </c>
      <c r="F26" s="4" t="s">
        <v>496</v>
      </c>
    </row>
    <row r="27" customFormat="false" ht="15" hidden="false" customHeight="false" outlineLevel="0" collapsed="false">
      <c r="A27" s="2" t="s">
        <v>497</v>
      </c>
      <c r="B27" s="4" t="s">
        <v>298</v>
      </c>
      <c r="C27" s="5" t="n">
        <f aca="false">SUMIF(全明細!$E$2:$E$975,"24/7Workout",全明細!$G$2:$G$975)+SUMIF(全明細!$E$2:$E$975,"24/7Workout ONLINESHOP",全明細!$G$2:$G$975)</f>
        <v>151096</v>
      </c>
      <c r="D27" s="17" t="n">
        <f aca="false">COUNTIF(全明細!$E$2:$E$975,"24/7Workout")+COUNTIF(全明細!$E$2:$E$975,"24/7Workout ONLINESHOP")</f>
        <v>7</v>
      </c>
      <c r="E27" s="5" t="n">
        <f aca="false">IF(D27=0,0,C27/10)</f>
        <v>15109.6</v>
      </c>
      <c r="F27" s="4" t="s">
        <v>498</v>
      </c>
    </row>
    <row r="28" customFormat="false" ht="15" hidden="false" customHeight="false" outlineLevel="0" collapsed="false">
      <c r="A28" s="2" t="s">
        <v>499</v>
      </c>
      <c r="B28" s="4" t="s">
        <v>138</v>
      </c>
      <c r="C28" s="5" t="n">
        <f aca="false">SUMIF(全明細!$E$2:$E$975,"HEARTLIFE こころの悩み相談所",全明細!$G$2:$G$975)+SUMIF(全明細!$E$2:$E$975,"Square(HeartLife こころの悩み相談)",全明細!$G$2:$G$975)</f>
        <v>41800</v>
      </c>
      <c r="D28" s="17" t="n">
        <f aca="false">COUNTIF(全明細!$E$2:$E$975,"HEARTLIFE こころの悩み相談所")+COUNTIF(全明細!$E$2:$E$975,"Square(HeartLife こころの悩み相談)")</f>
        <v>5</v>
      </c>
      <c r="E28" s="5" t="n">
        <f aca="false">IF(D28=0,0,C28/10)</f>
        <v>4180</v>
      </c>
      <c r="F28" s="4" t="s">
        <v>500</v>
      </c>
    </row>
    <row r="29" customFormat="false" ht="15" hidden="false" customHeight="false" outlineLevel="0" collapsed="false">
      <c r="A29" s="4" t="s">
        <v>130</v>
      </c>
      <c r="B29" s="4" t="s">
        <v>501</v>
      </c>
      <c r="C29" s="5" t="n">
        <f aca="false">SUMIF(全明細!$E$2:$E$975,"エクスプレス予約 年会費",全明細!$G$2:$G$975)</f>
        <v>1100</v>
      </c>
      <c r="D29" s="17" t="n">
        <f aca="false">COUNTIF(全明細!$E$2:$E$975,"エクスプレス予約 年会費")</f>
        <v>1</v>
      </c>
      <c r="E29" s="5" t="n">
        <f aca="false">IF(D29=0,0,C29/10)</f>
        <v>110</v>
      </c>
      <c r="F29" s="4" t="s">
        <v>502</v>
      </c>
    </row>
    <row r="30" customFormat="false" ht="15" hidden="false" customHeight="false" outlineLevel="0" collapsed="false">
      <c r="A30" s="4" t="s">
        <v>255</v>
      </c>
      <c r="B30" s="4" t="s">
        <v>503</v>
      </c>
      <c r="C30" s="5" t="n">
        <f aca="false">SUMIF(全明細!$E$2:$E$975,"プラチナカード年会費",全明細!$G$2:$G$975)</f>
        <v>96800</v>
      </c>
      <c r="D30" s="17" t="n">
        <f aca="false">COUNTIF(全明細!$E$2:$E$975,"プラチナカード年会費")</f>
        <v>1</v>
      </c>
      <c r="E30" s="5" t="n">
        <f aca="false">IF(D30=0,0,C30/10)</f>
        <v>9680</v>
      </c>
      <c r="F30" s="2" t="s">
        <v>504</v>
      </c>
    </row>
    <row r="31" customFormat="false" ht="15" hidden="false" customHeight="false" outlineLevel="0" collapsed="false">
      <c r="A31" s="4" t="s">
        <v>505</v>
      </c>
      <c r="B31" s="4" t="s">
        <v>506</v>
      </c>
      <c r="C31" s="5" t="n">
        <f aca="false">SUMIF(全明細!$E$2:$E$975,"セリック不動産投資道",全明細!$G$2:$G$975)+SUMIF(全明細!$E$2:$E$975,"バランス大家サロン",全明細!$G$2:$G$975)+SUMIF(全明細!$E$2:$E$975,"クラブジャイアンサロン",全明細!$G$2:$G$975)+SUMIF(全明細!$E$2:$E$975,"楽待プレミアム",全明細!$G$2:$G$975)</f>
        <v>334840</v>
      </c>
      <c r="D31" s="17" t="n">
        <f aca="false">COUNTIF(全明細!$E$2:$E$975,"セリック不動産投資道")+COUNTIF(全明細!$E$2:$E$975,"バランス大家サロン")+COUNTIF(全明細!$E$2:$E$975,"クラブジャイアンサロン")+COUNTIF(全明細!$E$2:$E$975,"楽待プレミアム")</f>
        <v>22</v>
      </c>
      <c r="E31" s="5" t="n">
        <f aca="false">IF(D31=0,0,C31/10)</f>
        <v>33484</v>
      </c>
      <c r="F31" s="4" t="s">
        <v>507</v>
      </c>
    </row>
    <row r="33" customFormat="false" ht="15" hidden="false" customHeight="false" outlineLevel="0" collapsed="false">
      <c r="A33" s="7" t="s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52"/>
    <col collapsed="false" customWidth="true" hidden="false" outlineLevel="0" max="6" min="5" style="0" width="14"/>
  </cols>
  <sheetData>
    <row r="1" customFormat="false" ht="19.4" hidden="false" customHeight="false" outlineLevel="0" collapsed="false">
      <c r="A1" s="6" t="s">
        <v>509</v>
      </c>
    </row>
    <row r="3" customFormat="false" ht="15" hidden="false" customHeight="false" outlineLevel="0" collapsed="false">
      <c r="A3" s="8" t="s">
        <v>510</v>
      </c>
      <c r="B3" s="8" t="s">
        <v>511</v>
      </c>
      <c r="C3" s="8" t="s">
        <v>512</v>
      </c>
      <c r="D3" s="8" t="s">
        <v>513</v>
      </c>
      <c r="E3" s="8" t="s">
        <v>514</v>
      </c>
      <c r="F3" s="8" t="s">
        <v>515</v>
      </c>
    </row>
    <row r="4" customFormat="false" ht="26.85" hidden="false" customHeight="false" outlineLevel="0" collapsed="false">
      <c r="A4" s="18" t="s">
        <v>516</v>
      </c>
      <c r="B4" s="18" t="s">
        <v>517</v>
      </c>
      <c r="C4" s="19" t="s">
        <v>518</v>
      </c>
      <c r="D4" s="19" t="s">
        <v>519</v>
      </c>
      <c r="E4" s="20" t="n">
        <v>55000</v>
      </c>
      <c r="F4" s="21" t="n">
        <f aca="false">E4*12</f>
        <v>660000</v>
      </c>
    </row>
    <row r="5" customFormat="false" ht="26.85" hidden="false" customHeight="false" outlineLevel="0" collapsed="false">
      <c r="A5" s="18" t="s">
        <v>516</v>
      </c>
      <c r="B5" s="22" t="s">
        <v>520</v>
      </c>
      <c r="C5" s="19" t="s">
        <v>521</v>
      </c>
      <c r="D5" s="19" t="s">
        <v>522</v>
      </c>
      <c r="E5" s="20" t="n">
        <v>80000</v>
      </c>
      <c r="F5" s="21" t="n">
        <f aca="false">E5*12</f>
        <v>960000</v>
      </c>
    </row>
    <row r="6" customFormat="false" ht="26.85" hidden="false" customHeight="false" outlineLevel="0" collapsed="false">
      <c r="A6" s="18" t="s">
        <v>516</v>
      </c>
      <c r="B6" s="22" t="s">
        <v>523</v>
      </c>
      <c r="C6" s="23" t="s">
        <v>524</v>
      </c>
      <c r="D6" s="19" t="s">
        <v>525</v>
      </c>
      <c r="E6" s="20" t="n">
        <v>100000</v>
      </c>
      <c r="F6" s="21" t="n">
        <f aca="false">E6*12</f>
        <v>1200000</v>
      </c>
    </row>
    <row r="7" customFormat="false" ht="26.85" hidden="false" customHeight="false" outlineLevel="0" collapsed="false">
      <c r="A7" s="18" t="s">
        <v>526</v>
      </c>
      <c r="B7" s="22" t="s">
        <v>527</v>
      </c>
      <c r="C7" s="19" t="s">
        <v>528</v>
      </c>
      <c r="D7" s="19" t="s">
        <v>529</v>
      </c>
      <c r="E7" s="20" t="n">
        <v>28000</v>
      </c>
      <c r="F7" s="21" t="n">
        <f aca="false">E7*12</f>
        <v>336000</v>
      </c>
    </row>
    <row r="8" customFormat="false" ht="26.85" hidden="false" customHeight="false" outlineLevel="0" collapsed="false">
      <c r="A8" s="18" t="s">
        <v>526</v>
      </c>
      <c r="B8" s="18" t="s">
        <v>530</v>
      </c>
      <c r="C8" s="23" t="s">
        <v>531</v>
      </c>
      <c r="D8" s="23" t="s">
        <v>532</v>
      </c>
      <c r="E8" s="20" t="n">
        <v>12000</v>
      </c>
      <c r="F8" s="21" t="n">
        <f aca="false">E8*12</f>
        <v>144000</v>
      </c>
    </row>
    <row r="9" customFormat="false" ht="26.85" hidden="false" customHeight="false" outlineLevel="0" collapsed="false">
      <c r="A9" s="18" t="s">
        <v>526</v>
      </c>
      <c r="B9" s="22" t="s">
        <v>533</v>
      </c>
      <c r="C9" s="19" t="s">
        <v>534</v>
      </c>
      <c r="D9" s="19" t="s">
        <v>535</v>
      </c>
      <c r="E9" s="20" t="n">
        <v>20000</v>
      </c>
      <c r="F9" s="21" t="n">
        <f aca="false">E9*12</f>
        <v>240000</v>
      </c>
    </row>
    <row r="10" customFormat="false" ht="26.85" hidden="false" customHeight="false" outlineLevel="0" collapsed="false">
      <c r="A10" s="18" t="s">
        <v>526</v>
      </c>
      <c r="B10" s="22" t="s">
        <v>536</v>
      </c>
      <c r="C10" s="23" t="s">
        <v>537</v>
      </c>
      <c r="D10" s="19" t="s">
        <v>538</v>
      </c>
      <c r="E10" s="20" t="n">
        <v>12000</v>
      </c>
      <c r="F10" s="21" t="n">
        <f aca="false">E10*12</f>
        <v>144000</v>
      </c>
    </row>
    <row r="11" customFormat="false" ht="39.55" hidden="false" customHeight="false" outlineLevel="0" collapsed="false">
      <c r="A11" s="18" t="s">
        <v>539</v>
      </c>
      <c r="B11" s="22" t="s">
        <v>540</v>
      </c>
      <c r="C11" s="23" t="s">
        <v>541</v>
      </c>
      <c r="D11" s="19" t="s">
        <v>542</v>
      </c>
      <c r="E11" s="20" t="n">
        <v>10000</v>
      </c>
      <c r="F11" s="21" t="n">
        <f aca="false">E11*12</f>
        <v>120000</v>
      </c>
    </row>
    <row r="12" customFormat="false" ht="26.85" hidden="false" customHeight="false" outlineLevel="0" collapsed="false">
      <c r="A12" s="18" t="s">
        <v>539</v>
      </c>
      <c r="B12" s="22" t="s">
        <v>543</v>
      </c>
      <c r="C12" s="23" t="s">
        <v>544</v>
      </c>
      <c r="D12" s="19" t="s">
        <v>545</v>
      </c>
      <c r="E12" s="20" t="n">
        <v>8000</v>
      </c>
      <c r="F12" s="21" t="n">
        <f aca="false">E12*12</f>
        <v>96000</v>
      </c>
    </row>
    <row r="13" customFormat="false" ht="26.85" hidden="false" customHeight="false" outlineLevel="0" collapsed="false">
      <c r="A13" s="18" t="s">
        <v>539</v>
      </c>
      <c r="B13" s="22" t="s">
        <v>546</v>
      </c>
      <c r="C13" s="19" t="s">
        <v>547</v>
      </c>
      <c r="D13" s="19" t="s">
        <v>548</v>
      </c>
      <c r="E13" s="20" t="n">
        <v>0</v>
      </c>
      <c r="F13" s="21" t="n">
        <f aca="false">E13*12</f>
        <v>0</v>
      </c>
    </row>
    <row r="14" customFormat="false" ht="26.85" hidden="false" customHeight="false" outlineLevel="0" collapsed="false">
      <c r="A14" s="18" t="s">
        <v>539</v>
      </c>
      <c r="B14" s="22" t="s">
        <v>549</v>
      </c>
      <c r="C14" s="23" t="s">
        <v>550</v>
      </c>
      <c r="D14" s="19" t="s">
        <v>551</v>
      </c>
      <c r="E14" s="20" t="n">
        <v>2000</v>
      </c>
      <c r="F14" s="21" t="n">
        <f aca="false">E14*12</f>
        <v>24000</v>
      </c>
    </row>
    <row r="15" customFormat="false" ht="26.85" hidden="false" customHeight="false" outlineLevel="0" collapsed="false">
      <c r="A15" s="18" t="s">
        <v>552</v>
      </c>
      <c r="B15" s="22" t="s">
        <v>553</v>
      </c>
      <c r="C15" s="19" t="s">
        <v>554</v>
      </c>
      <c r="D15" s="23" t="s">
        <v>555</v>
      </c>
      <c r="E15" s="20" t="n">
        <v>0</v>
      </c>
      <c r="F15" s="21" t="n">
        <f aca="false">E15*12</f>
        <v>0</v>
      </c>
    </row>
    <row r="16" customFormat="false" ht="15" hidden="false" customHeight="false" outlineLevel="0" collapsed="false">
      <c r="B16" s="24" t="s">
        <v>556</v>
      </c>
      <c r="E16" s="25" t="n">
        <f aca="false">SUM(E4:E15)</f>
        <v>327000</v>
      </c>
      <c r="F16" s="25" t="n">
        <f aca="false">SUM(F4:F15)</f>
        <v>3924000</v>
      </c>
    </row>
    <row r="18" customFormat="false" ht="15" hidden="false" customHeight="false" outlineLevel="0" collapsed="false">
      <c r="A18" s="7" t="s">
        <v>557</v>
      </c>
    </row>
    <row r="19" customFormat="false" ht="15" hidden="false" customHeight="false" outlineLevel="0" collapsed="false">
      <c r="A19" s="7" t="s">
        <v>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2026-08-10T08:39:20Z</dcterms:created>
  <dc:creator>openpyxl</dc:creator>
  <dc:description/>
  <dc:language>en-US</dc:language>
  <cp:lastModifiedBy/>
  <dcterms:modified xsi:type="dcterms:W3CDTF">2026-08-10T08:39:20Z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